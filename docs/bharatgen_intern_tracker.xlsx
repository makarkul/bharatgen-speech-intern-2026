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Overview" sheetId="1" state="visible" r:id="rId3"/>
    <sheet name="Tracker" sheetId="2" state="visible" r:id="rId4"/>
    <sheet name="Glossary" sheetId="3" state="visible" r:id="rId5"/>
    <sheet name="Deliverables" sheetId="4" state="visible" r:id="rId6"/>
    <sheet name="Cadence" sheetId="5" state="visible" r:id="rId7"/>
    <sheet name="Success Criteria" sheetId="6" state="visible" r:id="rId8"/>
    <sheet name="Anti-Patterns" sheetId="7" state="visible" r:id="rId9"/>
    <sheet name="Learning Resources" sheetId="8" state="visible" r:id="rId10"/>
  </sheets>
  <definedNames>
    <definedName function="false" hidden="true" localSheetId="2" name="_xlnm._FilterDatabase" vbProcedure="false">Glossary!$A$4:$D$54</definedName>
    <definedName function="false" hidden="true" localSheetId="7" name="_xlnm._FilterDatabase" vbProcedure="false">'Learning Resources'!$A$4:$G$36</definedName>
    <definedName function="false" hidden="true" localSheetId="1" name="_xlnm._FilterDatabase" vbProcedure="false">Tracker!$A$1:$J$99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<sst xmlns="http://schemas.openxmlformats.org/spreadsheetml/2006/main" count="1327" uniqueCount="692">
  <si>
    <t xml:space="preserve">BharatGen Speech Translation Intern Plan (8 weeks)</t>
  </si>
  <si>
    <t xml:space="preserve">Project Setup</t>
  </si>
  <si>
    <t xml:space="preserve">Intern name</t>
  </si>
  <si>
    <t xml:space="preserve">&lt;fill in&gt;</t>
  </si>
  <si>
    <t xml:space="preserve">Mentor name</t>
  </si>
  <si>
    <t xml:space="preserve">Start date (Week 0 Day 1)</t>
  </si>
  <si>
    <t xml:space="preserve">&lt;YYYY-MM-DD&gt;</t>
  </si>
  <si>
    <t xml:space="preserve">End date (computed)</t>
  </si>
  <si>
    <t xml:space="preserve">Repo URL</t>
  </si>
  <si>
    <t xml:space="preserve">GPU environment</t>
  </si>
  <si>
    <t xml:space="preserve">RunPod (RTX 4090 or A40, persistent volume)</t>
  </si>
  <si>
    <t xml:space="preserve">HF token configured?</t>
  </si>
  <si>
    <t xml:space="preserve">No</t>
  </si>
  <si>
    <t xml:space="preserve">End state</t>
  </si>
  <si>
    <t xml:space="preserve">Working STT → Translate → TTS demo using BharatGen Shrutam-2 + AI4Bharat IndicTrans2 + BharatGen Sooktam-2, with a handoff package that lets the next intern start at Week 6, not Week 0. Week 0 is a 5-day Python+ML bootstrap; Weeks 1–7 are the working project.</t>
  </si>
  <si>
    <t xml:space="preserve">Status summary (auto)</t>
  </si>
  <si>
    <t xml:space="preserve">Total items</t>
  </si>
  <si>
    <t xml:space="preserve">Done</t>
  </si>
  <si>
    <t xml:space="preserve">In Progress</t>
  </si>
  <si>
    <t xml:space="preserve">Blocked</t>
  </si>
  <si>
    <t xml:space="preserve">Not Started</t>
  </si>
  <si>
    <t xml:space="preserve">% Complete</t>
  </si>
  <si>
    <t xml:space="preserve">Week</t>
  </si>
  <si>
    <t xml:space="preserve">Week Start</t>
  </si>
  <si>
    <t xml:space="preserve">Section</t>
  </si>
  <si>
    <t xml:space="preserve">Item</t>
  </si>
  <si>
    <t xml:space="preserve">Description</t>
  </si>
  <si>
    <t xml:space="preserve">Rationale (why this is here)</t>
  </si>
  <si>
    <t xml:space="preserve">Owner</t>
  </si>
  <si>
    <t xml:space="preserve">Status</t>
  </si>
  <si>
    <t xml:space="preserve">Evidence / Link</t>
  </si>
  <si>
    <t xml:space="preserve">Notes</t>
  </si>
  <si>
    <t xml:space="preserve">Week 0</t>
  </si>
  <si>
    <t xml:space="preserve">Setup</t>
  </si>
  <si>
    <t xml:space="preserve">HF account + accept gating</t>
  </si>
  <si>
    <t xml:space="preserve">Create HF account; accept terms on bharatgenai/Shrutam-2, bharatgenai/sooktam2, ai4bharat/indictrans2-indic-en-1B and en-indic-1B. Generate access token; set HF_TOKEN env var. Async, before Day 1.</t>
  </si>
  <si>
    <t xml:space="preserve">All three target models are gated or trust_remote_code. Token must be live before Day 1 or first model load fails.</t>
  </si>
  <si>
    <t xml:space="preserve">Intern</t>
  </si>
  <si>
    <t xml:space="preserve">RunPod pod + persistent volume</t>
  </si>
  <si>
    <t xml:space="preserve">Create RunPod account. Spin up a Pod with persistent volume attached (recommend 80-100 GB to fit HF cache for all 3 models + datasets). GPU template: RTX 4090 (24 GB, cheaper) or A40 (48 GB, headroom for Week 6 multi-model). Note: pod ID, volume ID, GPU type chosen — documented in repo README.</t>
  </si>
  <si>
    <t xml:space="preserve">Inference benchmarks are meaningful only against a fixed environment. Pod + GPU template should not change across weeks. Persistent volume so models survive pod restarts (otherwise re-downloading IndicTrans2-1B + Shrutam-2 + Sooktam-2 every cold start wastes 30+ min).</t>
  </si>
  <si>
    <t xml:space="preserve">Mentor</t>
  </si>
  <si>
    <t xml:space="preserve">HF cache on persistent volume</t>
  </si>
  <si>
    <t xml:space="preserve">On the Pod: `export HF_HOME=/workspace/.cache/huggingface` (or whatever the mount path is). Add to ~/.bashrc. Verify by loading a tiny model and checking the file lands on the persistent volume.</t>
  </si>
  <si>
    <t xml:space="preserve">Default HF cache lives in container ephemeral storage — wiped on pod restart. Pointing HF_HOME at the volume means model downloads are one-time. This single line saves ~5 hours over the internship.</t>
  </si>
  <si>
    <t xml:space="preserve">Repo created</t>
  </si>
  <si>
    <t xml:space="preserve">Create `bharatgen-speech-intern-2026` with week0/ through week7/ folders. Branch protection so reviews are mandatory.</t>
  </si>
  <si>
    <t xml:space="preserve">Weekly commits make progress visible asynchronously. Removes the 'I lost my notebook' failure mode.</t>
  </si>
  <si>
    <t xml:space="preserve">Tooling installed</t>
  </si>
  <si>
    <t xml:space="preserve">Python 3.10, conda or uv, VS Code with Python + Jupyter extensions, ffmpeg, jupyter lab.</t>
  </si>
  <si>
    <t xml:space="preserve">ffmpeg is a hidden dependency for librosa/torchaudio/soundfile. Installing on Day 0 avoids a Day-1 audio-loading bug that looks unrelated.</t>
  </si>
  <si>
    <t xml:space="preserve">Pre-reading (&lt;=3 hours)</t>
  </si>
  <si>
    <t xml:space="preserve">AI4Bharat blog post on IndicTTS/IndicASR. Skim Shrutam-2 + Sooktam-2 model cards. No notes required.</t>
  </si>
  <si>
    <t xml:space="preserve">Builds vocabulary exposure so Day 3 concepts have anchor points. Retention is not the goal here.</t>
  </si>
  <si>
    <t xml:space="preserve">Concept</t>
  </si>
  <si>
    <t xml:space="preserve">Day 1: numpy - arrays, shape, dtype, broadcasting</t>
  </si>
  <si>
    <t xml:space="preserve">How arrays differ from Python lists. What .shape and .dtype mean. Broadcasting rules: when do (3,1) and (1,4) combine to (3,4).</t>
  </si>
  <si>
    <t xml:space="preserve">PyTorch tensors are numpy arrays + GPU + autograd. Master numpy first; PyTorch then feels 30% new, not 100% new.</t>
  </si>
  <si>
    <t xml:space="preserve">Day 1: Jupyter cells, kernels, magics</t>
  </si>
  <si>
    <t xml:space="preserve">Cell execution order, kernel state, %time, %matplotlib inline. Why notebooks for exploration, scripts for production.</t>
  </si>
  <si>
    <t xml:space="preserve">ML work lives in notebooks. Notebook mental model is different from script mental model — hidden kernel state causes 'works for me' bugs.</t>
  </si>
  <si>
    <t xml:space="preserve">Hands-on</t>
  </si>
  <si>
    <t xml:space="preserve">Day 1: numpy exercises</t>
  </si>
  <si>
    <t xml:space="preserve">Create arrays, slice, broadcast, dot product, reshape. 10 small exercises. Write down what .shape will be BEFORE running each cell.</t>
  </si>
  <si>
    <t xml:space="preserve">Predicting shape before running is the discipline that prevents 80% of 'shape mismatch' bugs later.</t>
  </si>
  <si>
    <t xml:space="preserve">Day 1: venv + requirements.txt comfort</t>
  </si>
  <si>
    <t xml:space="preserve">Create a fresh venv with uv or conda, install numpy/matplotlib/jupyter, freeze a requirements.txt.</t>
  </si>
  <si>
    <t xml:space="preserve">Every later week installs more packages. Environment hygiene now prevents 'it worked yesterday' problems in Week 4.</t>
  </si>
  <si>
    <t xml:space="preserve">Day 2: matplotlib pyplot basics</t>
  </si>
  <si>
    <t xml:space="preserve">fig, ax = plt.subplots(). plot(), scatter(), hist(), set_xlabel/set_ylabel/set_title.</t>
  </si>
  <si>
    <t xml:space="preserve">Every week involves plotting something. Familiarity removes a recurring friction point.</t>
  </si>
  <si>
    <t xml:space="preserve">Day 2: three plot types</t>
  </si>
  <si>
    <t xml:space="preserve">Plot a sine wave, a 1000-sample Gaussian histogram, a scatter of two correlated variables. Each plot labeled.</t>
  </si>
  <si>
    <t xml:space="preserve">Three plot types cover ~80% of what he'll plot. Practiced once, available always.</t>
  </si>
  <si>
    <t xml:space="preserve">Day 2: read one library doc page end-to-end</t>
  </si>
  <si>
    <t xml:space="preserve">librosa 'Core IO and DSP' page. Read every section. Try one example from each.</t>
  </si>
  <si>
    <t xml:space="preserve">Reading docs is THE skill. Practicing it on a library he'll use next week is dual-purpose.</t>
  </si>
  <si>
    <t xml:space="preserve">Day 3: what is a 'model' in ML</t>
  </si>
  <si>
    <t xml:space="preserve">A function with learned parameters. Input -&gt; some math -&gt; output. That's it for now. We won't train any — only run pre-trained ones.</t>
  </si>
  <si>
    <t xml:space="preserve">Demystifies the word. Removes the 'how does it learn' anxiety which is not Week 0's problem.</t>
  </si>
  <si>
    <t xml:space="preserve">Day 3: what is a tensor (vs numpy array)</t>
  </si>
  <si>
    <t xml:space="preserve">Same data structure (n-dim array of numbers), but: lives on GPU, tracks gradients (we won't use this in inference). For our purposes: numpy array on a graphics card.</t>
  </si>
  <si>
    <t xml:space="preserve">90% of 'PyTorch feels hard' is this conceptual confusion. Naming and dismissing it early saves a week.</t>
  </si>
  <si>
    <t xml:space="preserve">Day 3: what is a tokenizer</t>
  </si>
  <si>
    <t xml:space="preserve">Converts text -&gt; list of integers (tokens) so models can process it. Different models have different tokenizers. 'नमस्ते' might be 1 token or 5 tokens depending on the tokenizer.</t>
  </si>
  <si>
    <t xml:space="preserve">Crucial framing for Weeks 2-5 where tokenizers appear repeatedly. One-paragraph mental model is enough.</t>
  </si>
  <si>
    <t xml:space="preserve">Day 3: training vs inference</t>
  </si>
  <si>
    <t xml:space="preserve">Training: model learns from labeled data. Inference: model runs on new inputs. We do inference only for 7 weeks. Knowing what we're NOT doing scopes the work.</t>
  </si>
  <si>
    <t xml:space="preserve">Bounds the scope explicitly. Pre-empts the 'should I train it' instinct that derails most first ML projects.</t>
  </si>
  <si>
    <t xml:space="preserve">Day 3: GPU vs CPU intuition</t>
  </si>
  <si>
    <t xml:space="preserve">GPU = thousands of small parallel cores, great at matrix multiplications. CPU = few fast sequential cores. Neural network = millions of matmuls -&gt; GPU is 10-100x faster.</t>
  </si>
  <si>
    <t xml:space="preserve">Frames Day 5's GPU warm-up and every subsequent profiling discussion. Intuition first, mechanics later.</t>
  </si>
  <si>
    <t xml:space="preserve">Day 4: watch 3Blue1Brown NN videos ch. 1-3</t>
  </si>
  <si>
    <t xml:space="preserve">'But what IS a Neural Network?', 'Gradient descent', 'What does backpropagation really do?'. ~60 min total. Watch, don't pause to implement.</t>
  </si>
  <si>
    <t xml:space="preserve">Visual intuition for what's inside the model box. Watching is enough; implementing is for later if at all.</t>
  </si>
  <si>
    <t xml:space="preserve">Day 4: 1-page reflection in own words</t>
  </si>
  <si>
    <t xml:space="preserve">Answer in his own words: 'What is a neural network? What does training mean? Why do we need data?' One page max.</t>
  </si>
  <si>
    <t xml:space="preserve">Watching != understanding. Writing in own words tests retention and exposes gaps cheaply. THIS is the bootstrap diagnostic.</t>
  </si>
  <si>
    <t xml:space="preserve">Day 4: attention/transformers - 1-page primer</t>
  </si>
  <si>
    <t xml:space="preserve">Single page only: transformers are a NN architecture good at sequences. Attention lets each token 'look at' other tokens. Read Jay Alammar 'Illustrated Transformer' intro (first 1/3 only).</t>
  </si>
  <si>
    <t xml:space="preserve">One-page bird's-eye view so transformer vocabulary in Weeks 2-5 isn't entirely foreign. Don't go deep.</t>
  </si>
  <si>
    <t xml:space="preserve">Day 5: first PyTorch tensor</t>
  </si>
  <si>
    <t xml:space="preserve">pip install torch. torch.tensor([1,2,3]). Move .to('cuda'). Print .shape, .dtype, .device. Matmul of two random 1000x1000 tensors on CPU vs GPU, time both.</t>
  </si>
  <si>
    <t xml:space="preserve">Tactile first PyTorch experience. CPU-vs-GPU timing makes the Day-3 'why GPU' concept concrete.</t>
  </si>
  <si>
    <t xml:space="preserve">Day 5: run HF distilbert via pipeline()</t>
  </si>
  <si>
    <t xml:space="preserve">from transformers import pipeline; pipe = pipeline('sentiment-analysis'); pipe('I love this'). Three lines. Print the output.</t>
  </si>
  <si>
    <t xml:space="preserve">Easiest possible HF entry. No AutoModel/AutoTokenizer yet — just see that 'model goes brrr' works.</t>
  </si>
  <si>
    <t xml:space="preserve">Day 5: first commit</t>
  </si>
  <si>
    <t xml:space="preserve">Commit week0_bootstrap.ipynb to repo with all Day 1-5 exercises. First git push.</t>
  </si>
  <si>
    <t xml:space="preserve">Repo hygiene begins. Friday review now has something to review.</t>
  </si>
  <si>
    <t xml:space="preserve">Deliverable</t>
  </si>
  <si>
    <t xml:space="preserve">week0_bootstrap.ipynb + reflection.md</t>
  </si>
  <si>
    <t xml:space="preserve">Single notebook covering Days 1-5 exercises. reflection.md = his 1-page NN explanation from Day 4.</t>
  </si>
  <si>
    <t xml:space="preserve">Single artifact for the week. Reviewable in one sitting. Reflection.md is the diagnostic — if vague, slow Week 1 down.</t>
  </si>
  <si>
    <t xml:space="preserve">Anti-pattern</t>
  </si>
  <si>
    <t xml:space="preserve">Don't: implement a NN from scratch</t>
  </si>
  <si>
    <t xml:space="preserve">Skip 'build your own neural network in numpy' tutorials. Skip backprop derivations.</t>
  </si>
  <si>
    <t xml:space="preserve">Optimization target for Week 0 is conceptual coverage, not building. Implementation is a Week-9+ activity (i.e., after this internship).</t>
  </si>
  <si>
    <t xml:space="preserve">Don't: read PyTorch tutorials past 'Tensors'</t>
  </si>
  <si>
    <t xml:space="preserve">Skip 'Autograd', 'Training a Classifier', 'Optimization'. Those are training-stack content; we don't train.</t>
  </si>
  <si>
    <t xml:space="preserve">Inference-only scope. Reading training content now muddles the mental model.</t>
  </si>
  <si>
    <t xml:space="preserve">Don't: stress over 3Blue1Brown math</t>
  </si>
  <si>
    <t xml:space="preserve">If gradient descent algebra is hard, that's fine. Watch for intuition; math doesn't gate Week 1.</t>
  </si>
  <si>
    <t xml:space="preserve">Math fluency is not a Week-0 prerequisite. Sets expectations.</t>
  </si>
  <si>
    <t xml:space="preserve">Week 1</t>
  </si>
  <si>
    <t xml:space="preserve">Sampling rate: 16 kHz vs 44.1 kHz</t>
  </si>
  <si>
    <t xml:space="preserve">What sampling rate means; why ASR models specify 16 kHz; what happens when you pass 44.1 kHz to a 16 kHz model.</t>
  </si>
  <si>
    <t xml:space="preserve">Sample-rate mismatch is a top silent-failure mode. Spot it now, save 4 hours of debugging later.</t>
  </si>
  <si>
    <t xml:space="preserve">Mono vs stereo</t>
  </si>
  <si>
    <t xml:space="preserve">Why speech models expect mono. How to convert stereo to mono in librosa/torchaudio.</t>
  </si>
  <si>
    <t xml:space="preserve">Common preprocessing bug source.</t>
  </si>
  <si>
    <t xml:space="preserve">Waveform vs spectrogram, mel scale</t>
  </si>
  <si>
    <t xml:space="preserve">Visual difference; what models actually consume; why mel rather than linear frequency.</t>
  </si>
  <si>
    <t xml:space="preserve">Models consume spectrograms, humans see waveforms. Bridging this gap visually = fastest path to intuition.</t>
  </si>
  <si>
    <t xml:space="preserve">Tensor basics in practice</t>
  </si>
  <si>
    <t xml:space="preserve">tensor.to(device), .shape, .dtype, .cpu(), .numpy(). Why device-mismatched ops fail.</t>
  </si>
  <si>
    <t xml:space="preserve">Builds on Week 0 Day 5 with more depth now that bootstrap context exists.</t>
  </si>
  <si>
    <t xml:space="preserve">Record 5 clips in different languages</t>
  </si>
  <si>
    <t xml:space="preserve">Phone recordings: Hindi, English, plus 3 of Marathi/Tamil/Kannada/Bengali. Save as WAV.</t>
  </si>
  <si>
    <t xml:space="preserve">Real audio surfaces real preprocessing issues that synthetic test files don't.</t>
  </si>
  <si>
    <t xml:space="preserve">Plot waveform and mel-spectrogram</t>
  </si>
  <si>
    <t xml:space="preserve">Side-by-side plots in librosa. Zoom in on silence vs speech. Annotate which is which.</t>
  </si>
  <si>
    <t xml:space="preserve">Visualization grounds the abstract. Annotation forces him to articulate what he sees.</t>
  </si>
  <si>
    <t xml:space="preserve">Resample 44.1 -&gt; 16 kHz, listen to both</t>
  </si>
  <si>
    <t xml:space="preserve">torchaudio.transforms.Resample. Listen and compare. Note what's lost.</t>
  </si>
  <si>
    <t xml:space="preserve">Demonstrates that significant information loss is tolerable for intelligibility — frames why ASR standardized on 16 kHz.</t>
  </si>
  <si>
    <t xml:space="preserve">Time CPU vs GPU matmul (larger)</t>
  </si>
  <si>
    <t xml:space="preserve">10000x10000 matmul, CPU vs GPU. Compare to Week 0 Day 5's 1000x1000 numbers.</t>
  </si>
  <si>
    <t xml:space="preserve">Quantifies how the gap grows with size. Concrete intuition for batching benefits later.</t>
  </si>
  <si>
    <t xml:space="preserve">week1_audio_basics.ipynb + audio_cheatsheet.md</t>
  </si>
  <si>
    <t xml:space="preserve">Notebook with plots and annotations. 1-page cheatsheet: sampling rate, mono/stereo, resampling, mel-spectrogram.</t>
  </si>
  <si>
    <t xml:space="preserve">Cheatsheet seeds the handoff package. Audience-of-two forces clarity.</t>
  </si>
  <si>
    <t xml:space="preserve">Don't: read Stanford CS224S lectures</t>
  </si>
  <si>
    <t xml:space="preserve">Skip the full course. Theory rabbit hole.</t>
  </si>
  <si>
    <t xml:space="preserve">Three weeks can disappear into lectures with no code shipped.</t>
  </si>
  <si>
    <t xml:space="preserve">Don't: derive Fourier transforms</t>
  </si>
  <si>
    <t xml:space="preserve">Pattern-match what librosa produces. Don't reinvent the FFT.</t>
  </si>
  <si>
    <t xml:space="preserve">Not on the critical path to running BharatGen models.</t>
  </si>
  <si>
    <t xml:space="preserve">Week 2</t>
  </si>
  <si>
    <t xml:space="preserve">AutoModel / AutoTokenizer / AutoProcessor</t>
  </si>
  <si>
    <t xml:space="preserve">The Auto* pattern in HF transformers. Three classes: model weights, text tokenizer, multimodal processor.</t>
  </si>
  <si>
    <t xml:space="preserve">Once internalized, every new HF model card becomes 80% familiar.</t>
  </si>
  <si>
    <t xml:space="preserve">trust_remote_code=True - security</t>
  </si>
  <si>
    <t xml:space="preserve">What this flag does: executes Python from the model repo. Implications for untrusted models.</t>
  </si>
  <si>
    <t xml:space="preserve">Sooktam-2 in Week 4 requires this flag. Need intuition before flipping it.</t>
  </si>
  <si>
    <t xml:space="preserve">model.eval() and torch.no_grad()</t>
  </si>
  <si>
    <t xml:space="preserve">Training mode vs inference mode. no_grad halves memory and speeds up inference because it stops tracking gradients.</t>
  </si>
  <si>
    <t xml:space="preserve">Forgotten in ~50% of beginner inference code. Easy win.</t>
  </si>
  <si>
    <t xml:space="preserve">Tokens, logits, softmax - the output side</t>
  </si>
  <si>
    <t xml:space="preserve">Token = integer the tokenizer produces. Logits = raw model output (one number per vocab token). Softmax converts logits to probabilities. Builds on Week 0 tokenizer concept.</t>
  </si>
  <si>
    <t xml:space="preserve">Closes the loop on Week 0. Logits/softmax are the language of every generate() call.</t>
  </si>
  <si>
    <t xml:space="preserve">HF cache structure</t>
  </si>
  <si>
    <t xml:space="preserve">Inspect ~/.cache/huggingface/hub/. Files: config.json, tokenizer files, weights.</t>
  </si>
  <si>
    <t xml:space="preserve">Demystifies the 'magic' of from_pretrained. Helps diagnose disk-space issues later.</t>
  </si>
  <si>
    <t xml:space="preserve">Run distilbert manually (not pipeline)</t>
  </si>
  <si>
    <t xml:space="preserve">Load distilbert with AutoModel/AutoTokenizer. Print raw logits, apply torch.softmax, see probabilities. Compare to pipeline()'s output.</t>
  </si>
  <si>
    <t xml:space="preserve">Bridges Week 0's pipeline() experience with the manual API. He sees what pipeline() was doing.</t>
  </si>
  <si>
    <t xml:space="preserve">Run whisper-tiny on Week 1 audio</t>
  </si>
  <si>
    <t xml:space="preserve">openai/whisper-tiny via transformers. Get transcriptions.</t>
  </si>
  <si>
    <t xml:space="preserve">First speech model. Becomes Week 3 baseline for Shrutam-2 comparison.</t>
  </si>
  <si>
    <t xml:space="preserve">Read a config.json end-to-end</t>
  </si>
  <si>
    <t xml:space="preserve">Identify and write in plain English what hidden_size, num_hidden_layers, vocab_size mean.</t>
  </si>
  <si>
    <t xml:space="preserve">Builds intuition for what 'loading a model' actually involves.</t>
  </si>
  <si>
    <t xml:space="preserve">how_to_run_an_hf_model.md</t>
  </si>
  <si>
    <t xml:space="preserve">Tutorial written FOR the next intern. Code, screenshots, pipeline() vs manual loading.</t>
  </si>
  <si>
    <t xml:space="preserve">Writing-for-others is the strongest test of understanding.</t>
  </si>
  <si>
    <t xml:space="preserve">Don't: fine-tune anything</t>
  </si>
  <si>
    <t xml:space="preserve">No LoRA, no PEFT, no full fine-tune. Inference-only.</t>
  </si>
  <si>
    <t xml:space="preserve">Half-trained models with no documentation. Inference depth &gt; training breadth here.</t>
  </si>
  <si>
    <t xml:space="preserve">Don't: pull in accelerate/bitsandbytes yet</t>
  </si>
  <si>
    <t xml:space="preserve">Skip distributed and quantization libraries.</t>
  </si>
  <si>
    <t xml:space="preserve">Premature optimization. Adds debugging surface without value.</t>
  </si>
  <si>
    <t xml:space="preserve">Week 3</t>
  </si>
  <si>
    <t xml:space="preserve">WER and CER</t>
  </si>
  <si>
    <t xml:space="preserve">(insertions + deletions + substitutions) / reference length. Use jiwer library.</t>
  </si>
  <si>
    <t xml:space="preserve">Only quantitative way to compare ASR systems.</t>
  </si>
  <si>
    <t xml:space="preserve">Code-mixing difficulty</t>
  </si>
  <si>
    <t xml:space="preserve">Why Hindi-English code-mix breaks most ASR models: tokenizer coverage, training-data distribution.</t>
  </si>
  <si>
    <t xml:space="preserve">India-specific. Where BharatGen most differentiates from Whisper.</t>
  </si>
  <si>
    <t xml:space="preserve">Beam search vs greedy decoding</t>
  </si>
  <si>
    <t xml:space="preserve">Greedy = take highest-probability token each step. Beam = keep top-k partial sequences. One paragraph each.</t>
  </si>
  <si>
    <t xml:space="preserve">Affects every .generate() call. Enough to know what knob to tweak.</t>
  </si>
  <si>
    <t xml:space="preserve">Run Shrutam-2 on real-world audio</t>
  </si>
  <si>
    <t xml:space="preserve">10 Hindi + 10 Tamil + 5 code-mixed clips. Real audio (YouTube, podcasts, his own recordings), NOT model card examples.</t>
  </si>
  <si>
    <t xml:space="preserve">Real audio surfaces real failure modes. Model card examples are cherry-picked.</t>
  </si>
  <si>
    <t xml:space="preserve">Compute WER vs Whisper large-v3</t>
  </si>
  <si>
    <t xml:space="preserve">Same audio, same ground truth, both models. Tabulate WER per language.</t>
  </si>
  <si>
    <t xml:space="preserve">Shrutam-2 in isolation is just numbers. Comparison gives meaning.</t>
  </si>
  <si>
    <t xml:space="preserve">Profiling</t>
  </si>
  <si>
    <t xml:space="preserve">Latency, peak GPU memory, throughput</t>
  </si>
  <si>
    <t xml:space="preserve">torch.cuda.max_memory_allocated(), wall-clock time, audio-seconds per inference-second. Note hardware and batch size.</t>
  </si>
  <si>
    <t xml:space="preserve">Inference-stack thinking starts here. Discipline reused every subsequent week.</t>
  </si>
  <si>
    <t xml:space="preserve">week3_shrutam2_eval.md</t>
  </si>
  <si>
    <t xml:space="preserve">WER table, profiling table, 5 transcription failures with his hypothesis on each.</t>
  </si>
  <si>
    <t xml:space="preserve">'Why did it fail?' forces reasoning about model behavior.</t>
  </si>
  <si>
    <t xml:space="preserve">Don't: try to 'improve' the model</t>
  </si>
  <si>
    <t xml:space="preserve">No retraining, no domain adaptation. Evaluation only.</t>
  </si>
  <si>
    <t xml:space="preserve">Improvement is meaningless before measurement is solid.</t>
  </si>
  <si>
    <t xml:space="preserve">Don't: report numbers without hardware context</t>
  </si>
  <si>
    <t xml:space="preserve">Always note GPU, batch size, audio length, language.</t>
  </si>
  <si>
    <t xml:space="preserve">A latency number without context is noise.</t>
  </si>
  <si>
    <t xml:space="preserve">Week 4</t>
  </si>
  <si>
    <t xml:space="preserve">Embeddings - what they are</t>
  </si>
  <si>
    <t xml:space="preserve">A vector of numbers representing something (a token, a speaker, an image). Similar things -&gt; similar vectors. Speaker embedding = vector representing one person's voice.</t>
  </si>
  <si>
    <t xml:space="preserve">Foundational concept used everywhere from here. Defining explicitly prevents confusion in Week 4 onwards.</t>
  </si>
  <si>
    <t xml:space="preserve">Reference-guided voice conditioning</t>
  </si>
  <si>
    <t xml:space="preserve">Sooktam-2 takes a reference WAV + reference transcript and produces a speaker embedding. The TTS is conditioned on it — output mimics the reference voice.</t>
  </si>
  <si>
    <t xml:space="preserve">Distinguishes Sooktam-2 from description-conditioned TTS like Indic Parler.</t>
  </si>
  <si>
    <t xml:space="preserve">Vocoder vs acoustic model</t>
  </si>
  <si>
    <t xml:space="preserve">Acoustic model: text -&gt; mel-spectrogram. Vocoder: mel-spectrogram -&gt; waveform. Two stages, two failure modes.</t>
  </si>
  <si>
    <t xml:space="preserve">Helps reason about quality failures. Buzzy = vocoder. Wrong pronunciation = acoustic model. Different fixes.</t>
  </si>
  <si>
    <t xml:space="preserve">RTF (Real-Time Factor)</t>
  </si>
  <si>
    <t xml:space="preserve">RTF = generation_time / audio_duration. RTF &lt; 1 = faster than real-time.</t>
  </si>
  <si>
    <t xml:space="preserve">Standard TTS metric. Lets him compare Sooktam-2 to Indic Parler on a common axis.</t>
  </si>
  <si>
    <t xml:space="preserve">Generate 3 languages x 3 reference voices</t>
  </si>
  <si>
    <t xml:space="preserve">Hindi + Marathi + Tamil; three different reference speakers per language.</t>
  </si>
  <si>
    <t xml:space="preserve">Reveals model behavior across language and speaker dimensions.</t>
  </si>
  <si>
    <t xml:space="preserve">Edge cases</t>
  </si>
  <si>
    <t xml:space="preserve">Long target text (&gt;500 chars). English loanwords in Hindi. Numbers and currency (2026, Rs.450). Code-mixed input.</t>
  </si>
  <si>
    <t xml:space="preserve">These are where production deployments break. Document now.</t>
  </si>
  <si>
    <t xml:space="preserve">Compare with ai4bharat/indic-parler-tts</t>
  </si>
  <si>
    <t xml:space="preserve">Same Hindi sentences, same listener. Reference-conditioned vs description-conditioned paradigms.</t>
  </si>
  <si>
    <t xml:space="preserve">Forces articulating the trade-off.</t>
  </si>
  <si>
    <t xml:space="preserve">Latency, RTF, GPU memory</t>
  </si>
  <si>
    <t xml:space="preserve">Same profiling discipline as Week 3.</t>
  </si>
  <si>
    <t xml:space="preserve">Builds the habit.</t>
  </si>
  <si>
    <t xml:space="preserve">week4_sooktam2_eval.md + audio samples</t>
  </si>
  <si>
    <t xml:space="preserve">Markdown + committed audio. Indic Parler comparison. Tabulated profiling. Edge-case failure samples.</t>
  </si>
  <si>
    <t xml:space="preserve">Claims about audio quality MUST be backed by listenable artifacts.</t>
  </si>
  <si>
    <t xml:space="preserve">Don't: claim quality without samples</t>
  </si>
  <si>
    <t xml:space="preserve">Every quality assertion links to a WAV file.</t>
  </si>
  <si>
    <t xml:space="preserve">Untestable claims become folk wisdom.</t>
  </si>
  <si>
    <t xml:space="preserve">Don't: forget reference clip quality is a ceiling</t>
  </si>
  <si>
    <t xml:space="preserve">A noisy/unclear reference produces mediocre output regardless of model.</t>
  </si>
  <si>
    <t xml:space="preserve">Garbage in, garbage out. Common beginner error.</t>
  </si>
  <si>
    <t xml:space="preserve">Week 5</t>
  </si>
  <si>
    <t xml:space="preserve">Sequence-to-sequence (seq2seq)</t>
  </si>
  <si>
    <t xml:space="preserve">Input sequence -&gt; output sequence. ASR is audio-seq -&gt; text-seq. TTS is text-seq -&gt; audio-seq. Translation is text-seq -&gt; text-seq. Same family.</t>
  </si>
  <si>
    <t xml:space="preserve">Naming the abstraction unifies three apparently different models. Reduces cognitive load.</t>
  </si>
  <si>
    <t xml:space="preserve">Encoder vs decoder</t>
  </si>
  <si>
    <t xml:space="preserve">Encoder = reads the whole input and builds an internal representation. Decoder = generates output one token at a time, looking at encoder's representation.</t>
  </si>
  <si>
    <t xml:space="preserve">Architecture intuition for why translation models look different from chatbot LLMs.</t>
  </si>
  <si>
    <t xml:space="preserve">Autoregressive generation</t>
  </si>
  <si>
    <t xml:space="preserve">Generates token by token, each new token depends on previously generated tokens. Builds on Week 2 logits/softmax: at each step, model outputs logits, picks next token.</t>
  </si>
  <si>
    <t xml:space="preserve">Connects to earlier softmax concept. Explains why latency scales with output length.</t>
  </si>
  <si>
    <t xml:space="preserve">Beam search - experienced</t>
  </si>
  <si>
    <t xml:space="preserve">Now actually set num_beams=1, 4, 8. Observe output and latency changes.</t>
  </si>
  <si>
    <t xml:space="preserve">Week 3 introduced concept; Week 5 experiences it.</t>
  </si>
  <si>
    <t xml:space="preserve">Run IndicTrans2 both directions</t>
  </si>
  <si>
    <t xml:space="preserve">ai4bharat/indictrans2-indic-en-1B and en-indic-1B. 30 sentences across 4 languages.</t>
  </si>
  <si>
    <t xml:space="preserve">Practical breadth.</t>
  </si>
  <si>
    <t xml:space="preserve">Technical/legal Hindi, casual WhatsApp text, numbers and dates, code-mixed input.</t>
  </si>
  <si>
    <t xml:space="preserve">Tests robustness across registers.</t>
  </si>
  <si>
    <t xml:space="preserve">Round-trip translation</t>
  </si>
  <si>
    <t xml:space="preserve">Hindi -&gt; English -&gt; Hindi for 10 sentences. Compare to originals for meaning drift.</t>
  </si>
  <si>
    <t xml:space="preserve">Quick quality signal without expensive BLEU.</t>
  </si>
  <si>
    <t xml:space="preserve">Latency, GPU memory, tokens/sec</t>
  </si>
  <si>
    <t xml:space="preserve">Same profiling discipline.</t>
  </si>
  <si>
    <t xml:space="preserve">Continuity.</t>
  </si>
  <si>
    <t xml:space="preserve">week5_indictrans2_eval.md + translate.py CLI</t>
  </si>
  <si>
    <t xml:space="preserve">Eval doc + a small CLI: `python translate.py --src hi --tgt en --text "..."`.</t>
  </si>
  <si>
    <t xml:space="preserve">First reusable tool. Imported into Week 6 pipeline.</t>
  </si>
  <si>
    <t xml:space="preserve">Don't: treat BLEU as the only metric</t>
  </si>
  <si>
    <t xml:space="preserve">BLEU + round-trip + human spot-checks.</t>
  </si>
  <si>
    <t xml:space="preserve">BLEU is brittle for morphologically rich Indic languages.</t>
  </si>
  <si>
    <t xml:space="preserve">Week 6</t>
  </si>
  <si>
    <t xml:space="preserve">Pipeline / model composition</t>
  </si>
  <si>
    <t xml:space="preserve">How models compose. State between models (audio buffers, intermediate text, language metadata).</t>
  </si>
  <si>
    <t xml:space="preserve">Composition has its own failure modes that individual models don't.</t>
  </si>
  <si>
    <t xml:space="preserve">GPU memory budgeting</t>
  </si>
  <si>
    <t xml:space="preserve">Three models, finite GPU. Decision: keep all loaded, swap, or offload to CPU? Trade-offs.</t>
  </si>
  <si>
    <t xml:space="preserve">The inference-stack lesson. The engineering judgment is what we want him to develop.</t>
  </si>
  <si>
    <t xml:space="preserve">Wire Shrutam-2 + IndicTrans2 + Sooktam-2</t>
  </si>
  <si>
    <t xml:space="preserve">Audio -&gt; Shrutam-2 (Hindi audio -&gt; Hindi text) -&gt; IndicTrans2 (Hindi -&gt; English) -&gt; Sooktam-2 (English text -&gt; English audio).</t>
  </si>
  <si>
    <t xml:space="preserve">The actual goal of the internship.</t>
  </si>
  <si>
    <t xml:space="preserve">Gradio UI</t>
  </si>
  <si>
    <t xml:space="preserve">File or mic input, source/target language dropdowns, audio player output. Run on localhost.</t>
  </si>
  <si>
    <t xml:space="preserve">Makes the demo accessible to non-engineers.</t>
  </si>
  <si>
    <t xml:space="preserve">Decide GPU placement strategy</t>
  </si>
  <si>
    <t xml:space="preserve">All three loaded? Lazy load? Evict between calls? Pick one, defend in writing, document.</t>
  </si>
  <si>
    <t xml:space="preserve">Defending the choice is more valuable than picking the optimal one.</t>
  </si>
  <si>
    <t xml:space="preserve">Handle 3 failure modes only</t>
  </si>
  <si>
    <t xml:space="preserve">Empty transcription. Very long input audio (&gt;5 min). Translation timeout.</t>
  </si>
  <si>
    <t xml:space="preserve">Bounded scope. Three well &gt; fifteen poorly.</t>
  </si>
  <si>
    <t xml:space="preserve">Pipeline-level latency</t>
  </si>
  <si>
    <t xml:space="preserve">End-to-end wall clock for a 10s audio input. Per-stage breakdown.</t>
  </si>
  <si>
    <t xml:space="preserve">Sets up Week 7's end-to-end profiling.</t>
  </si>
  <si>
    <t xml:space="preserve">Gradio demo + architecture.md</t>
  </si>
  <si>
    <t xml:space="preserve">Hand-drawn architecture: data flow, model placements, memory budget, failure modes.</t>
  </si>
  <si>
    <t xml:space="preserve">Drawing tests data-flow understanding.</t>
  </si>
  <si>
    <t xml:space="preserve">Don't: streaming or realtime</t>
  </si>
  <si>
    <t xml:space="preserve">No WebSockets. Request-response only.</t>
  </si>
  <si>
    <t xml:space="preserve">Streaming is its own multi-week project.</t>
  </si>
  <si>
    <t xml:space="preserve">Don't: containerize</t>
  </si>
  <si>
    <t xml:space="preserve">No Docker. Plain Python + Gradio.</t>
  </si>
  <si>
    <t xml:space="preserve">Containerization without deployment target is theater.</t>
  </si>
  <si>
    <t xml:space="preserve">Week 7</t>
  </si>
  <si>
    <t xml:space="preserve">End-to-end profiling: ms breakdown</t>
  </si>
  <si>
    <t xml:space="preserve">For a 10s Hindi -&gt; English audio task: total ms, ASR ms, translate ms, TTS ms, overhead ms. Single diagram.</t>
  </si>
  <si>
    <t xml:space="preserve">Synthesizes every week's profiling. The diagram goes on the wall.</t>
  </si>
  <si>
    <t xml:space="preserve">Memory profiling</t>
  </si>
  <si>
    <t xml:space="preserve">Peak GPU memory per model. Peak with all three loaded concurrently. Implication: GPU tier needed.</t>
  </si>
  <si>
    <t xml:space="preserve">Concrete answer to a recurring product question.</t>
  </si>
  <si>
    <t xml:space="preserve">LIMITATIONS.md</t>
  </si>
  <si>
    <t xml:space="preserve">Language coverage, code-mix failures, accent sensitivity, translation degradation, latency bottlenecks, GPU memory ceiling.</t>
  </si>
  <si>
    <t xml:space="preserve">Honest scoping. Next intern starts knowing what doesn't work.</t>
  </si>
  <si>
    <t xml:space="preserve">Handoff README</t>
  </si>
  <si>
    <t xml:space="preserve">Root README.md: 'How to run this in 30 minutes from scratch.' Step-by-step.</t>
  </si>
  <si>
    <t xml:space="preserve">If new intern can't get to a working demo in 30 min, handoff failed.</t>
  </si>
  <si>
    <t xml:space="preserve">SETUP, EXPERIMENTS, NEXT_STEPS markdowns</t>
  </si>
  <si>
    <t xml:space="preserve">SETUP: env/GPU/HF tokens. EXPERIMENTS: tried, worked, didn't. NEXT_STEPS: three concrete projects for next intern.</t>
  </si>
  <si>
    <t xml:space="preserve">Decomposes the handoff into discoverable pieces.</t>
  </si>
  <si>
    <t xml:space="preserve">30-min Loom walkthrough</t>
  </si>
  <si>
    <t xml:space="preserve">Screen recording: demo the pipeline, walk through repo, point at limitations.</t>
  </si>
  <si>
    <t xml:space="preserve">Watching is faster than reading for first-touch onboarding.</t>
  </si>
  <si>
    <t xml:space="preserve">Tagged repo v1.0-intern-handoff</t>
  </si>
  <si>
    <t xml:space="preserve">git tag v1.0-intern-handoff. Final mentor review.</t>
  </si>
  <si>
    <t xml:space="preserve">Discrete milestone. 'Done' is unambiguous.</t>
  </si>
  <si>
    <t xml:space="preserve">Don't: leave docs for the last day</t>
  </si>
  <si>
    <t xml:space="preserve">Docs accumulate weekly from Week 1.</t>
  </si>
  <si>
    <t xml:space="preserve">Week-7-only doc writing misses ~30% of what was done.</t>
  </si>
  <si>
    <t xml:space="preserve">Glossary</t>
  </si>
  <si>
    <t xml:space="preserve">One-line definitions for every ML / audio / inference term used in the plan. Aimed at someone who's just finished Week 0. Use as a lookup, not as study material.</t>
  </si>
  <si>
    <t xml:space="preserve">Category</t>
  </si>
  <si>
    <t xml:space="preserve">Term</t>
  </si>
  <si>
    <t xml:space="preserve">Plain-English definition</t>
  </si>
  <si>
    <t xml:space="preserve">First appears</t>
  </si>
  <si>
    <t xml:space="preserve">Audio</t>
  </si>
  <si>
    <t xml:space="preserve">Sampling rate</t>
  </si>
  <si>
    <t xml:space="preserve">How many audio measurements are taken per second. 16,000/sec (16 kHz) is the speech-model standard; CD audio is 44,100/sec.</t>
  </si>
  <si>
    <t xml:space="preserve">Waveform</t>
  </si>
  <si>
    <t xml:space="preserve">The raw audio signal as a 1-D array of amplitude values over time. What you see in Audacity.</t>
  </si>
  <si>
    <t xml:space="preserve">Spectrogram</t>
  </si>
  <si>
    <t xml:space="preserve">A 2-D image showing how energy at different frequencies changes over time. Models eat this, not the raw waveform.</t>
  </si>
  <si>
    <t xml:space="preserve">Mel-spectrogram</t>
  </si>
  <si>
    <t xml:space="preserve">A spectrogram with frequencies rescaled to the mel scale (closer to how humans hear). Standard input for speech models.</t>
  </si>
  <si>
    <t xml:space="preserve">Mono / Stereo</t>
  </si>
  <si>
    <t xml:space="preserve">Mono = 1 channel. Stereo = 2 channels. Speech models almost always want mono.</t>
  </si>
  <si>
    <t xml:space="preserve">PyTorch</t>
  </si>
  <si>
    <t xml:space="preserve">Tensor</t>
  </si>
  <si>
    <t xml:space="preserve">An n-dimensional array of numbers (like a numpy array) that can live on a GPU and support gradient tracking. For our purposes: numpy array on a graphics card.</t>
  </si>
  <si>
    <t xml:space="preserve">Device</t>
  </si>
  <si>
    <t xml:space="preserve">Where a tensor lives: 'cpu' or 'cuda' (GPU). Operations between tensors on different devices fail.</t>
  </si>
  <si>
    <t xml:space="preserve">dtype</t>
  </si>
  <si>
    <t xml:space="preserve">The numeric type of tensor elements: float32 (default), float16, bfloat16, int8, etc. Affects memory and precision.</t>
  </si>
  <si>
    <t xml:space="preserve">Broadcasting</t>
  </si>
  <si>
    <t xml:space="preserve">Rules that let operations between tensors of different shapes work (e.g., adding (3,1) and (1,4) produces (3,4)).</t>
  </si>
  <si>
    <t xml:space="preserve">torch.no_grad()</t>
  </si>
  <si>
    <t xml:space="preserve">A context manager that turns off gradient tracking. Use during inference: halves memory, speeds up.</t>
  </si>
  <si>
    <t xml:space="preserve">model.eval()</t>
  </si>
  <si>
    <t xml:space="preserve">Switches a model from training mode to inference mode. Affects layers like dropout and batchnorm.</t>
  </si>
  <si>
    <t xml:space="preserve">ML</t>
  </si>
  <si>
    <t xml:space="preserve">Model</t>
  </si>
  <si>
    <t xml:space="preserve">A function with learned parameters. Input -&gt; math -&gt; output. For us, always pre-trained — we never train.</t>
  </si>
  <si>
    <t xml:space="preserve">Parameters / Weights</t>
  </si>
  <si>
    <t xml:space="preserve">The learned numbers inside a model. A '2.9B parameter model' has 2.9 billion of these.</t>
  </si>
  <si>
    <t xml:space="preserve">Inference</t>
  </si>
  <si>
    <t xml:space="preserve">Running a trained model on new inputs to get outputs. The only thing we do for 7 weeks.</t>
  </si>
  <si>
    <t xml:space="preserve">Training</t>
  </si>
  <si>
    <t xml:space="preserve">Adjusting model parameters using labeled data. We don't do this.</t>
  </si>
  <si>
    <t xml:space="preserve">Forward pass</t>
  </si>
  <si>
    <t xml:space="preserve">Running input through the model to produce output. The thing that happens during inference.</t>
  </si>
  <si>
    <t xml:space="preserve">NLP</t>
  </si>
  <si>
    <t xml:space="preserve">Token</t>
  </si>
  <si>
    <t xml:space="preserve">An integer that represents a chunk of text. Could be a word, a subword, a character, or even a byte.</t>
  </si>
  <si>
    <t xml:space="preserve">Tokenizer</t>
  </si>
  <si>
    <t xml:space="preserve">Converts text -&gt; list of tokens (integers). Each model ships with its own tokenizer.</t>
  </si>
  <si>
    <t xml:space="preserve">Vocabulary / vocab size</t>
  </si>
  <si>
    <t xml:space="preserve">The set of all possible tokens the model knows. vocab_size is how many distinct tokens exist.</t>
  </si>
  <si>
    <t xml:space="preserve">Embedding</t>
  </si>
  <si>
    <t xml:space="preserve">A vector of numbers representing something (a token, a speaker, an image). Similar things -&gt; similar vectors.</t>
  </si>
  <si>
    <t xml:space="preserve">Logits</t>
  </si>
  <si>
    <t xml:space="preserve">The raw numeric output of a model, one per vocab token. Higher = model thinks this token is more likely.</t>
  </si>
  <si>
    <t xml:space="preserve">Softmax</t>
  </si>
  <si>
    <t xml:space="preserve">Converts logits into probabilities (each between 0 and 1, summing to 1). Normalization with exponentials.</t>
  </si>
  <si>
    <t xml:space="preserve">Hidden size</t>
  </si>
  <si>
    <t xml:space="preserve">The width of the model's internal representations (e.g., 768 = each token is represented by a 768-number vector inside the model).</t>
  </si>
  <si>
    <t xml:space="preserve">Layer</t>
  </si>
  <si>
    <t xml:space="preserve">One stage of the model's processing. A 12-layer transformer applies its core operation 12 times.</t>
  </si>
  <si>
    <t xml:space="preserve">Attention</t>
  </si>
  <si>
    <t xml:space="preserve">The operation that lets each token in a sequence 'look at' (weight) every other token. The core of transformers.</t>
  </si>
  <si>
    <t xml:space="preserve">Week 0 (primer)</t>
  </si>
  <si>
    <t xml:space="preserve">Encoder</t>
  </si>
  <si>
    <t xml:space="preserve">Part of a model that reads the whole input and builds a representation of it.</t>
  </si>
  <si>
    <t xml:space="preserve">Decoder</t>
  </si>
  <si>
    <t xml:space="preserve">Part of a model that generates output token by token, often conditioned on an encoder's representation.</t>
  </si>
  <si>
    <t xml:space="preserve">Seq2seq</t>
  </si>
  <si>
    <t xml:space="preserve">A model whose input is a sequence and output is a sequence. ASR, TTS, and translation are all seq2seq.</t>
  </si>
  <si>
    <t xml:space="preserve">Autoregressive</t>
  </si>
  <si>
    <t xml:space="preserve">Generates output one token at a time, each new token depends on previously generated tokens.</t>
  </si>
  <si>
    <t xml:space="preserve">Greedy decoding</t>
  </si>
  <si>
    <t xml:space="preserve">At each generation step, pick the single highest-probability token. Fast, sometimes suboptimal.</t>
  </si>
  <si>
    <t xml:space="preserve">Beam search</t>
  </si>
  <si>
    <t xml:space="preserve">At each step, keep the top-k partial sequences. Slower but usually better output.</t>
  </si>
  <si>
    <t xml:space="preserve">KV cache</t>
  </si>
  <si>
    <t xml:space="preserve">Stored intermediate states from previous generation steps. Speeds up autoregressive decoding; eats GPU memory linearly with output length.</t>
  </si>
  <si>
    <t xml:space="preserve">Speech</t>
  </si>
  <si>
    <t xml:space="preserve">ASR / STT</t>
  </si>
  <si>
    <t xml:space="preserve">Audio -&gt; text. ASR (Automatic Speech Recognition) and STT (Speech-to-Text) mean the same thing.</t>
  </si>
  <si>
    <t xml:space="preserve">TTS</t>
  </si>
  <si>
    <t xml:space="preserve">Text -&gt; audio. Text-to-Speech.</t>
  </si>
  <si>
    <t xml:space="preserve">NMT</t>
  </si>
  <si>
    <t xml:space="preserve">Neural Machine Translation. Text in one language -&gt; text in another, done by a neural network.</t>
  </si>
  <si>
    <t xml:space="preserve">Acoustic model</t>
  </si>
  <si>
    <t xml:space="preserve">In TTS, the part that turns text into a mel-spectrogram.</t>
  </si>
  <si>
    <t xml:space="preserve">Vocoder</t>
  </si>
  <si>
    <t xml:space="preserve">In TTS, the part that turns a mel-spectrogram into an audible waveform.</t>
  </si>
  <si>
    <t xml:space="preserve">Reference-guided / voice cloning</t>
  </si>
  <si>
    <t xml:space="preserve">TTS conditioned on a reference audio clip: the output mimics the reference speaker.</t>
  </si>
  <si>
    <t xml:space="preserve">Description-conditioned TTS</t>
  </si>
  <si>
    <t xml:space="preserve">TTS conditioned on a text description ('a calm female voice with low pitch') rather than a reference clip. Indic Parler-TTS works this way.</t>
  </si>
  <si>
    <t xml:space="preserve">WER</t>
  </si>
  <si>
    <t xml:space="preserve">Word Error Rate. (insertions + deletions + substitutions) / total reference words. Lower is better.</t>
  </si>
  <si>
    <t xml:space="preserve">CER</t>
  </si>
  <si>
    <t xml:space="preserve">Character Error Rate. Same as WER but at character level. More forgiving for morphologically rich languages.</t>
  </si>
  <si>
    <t xml:space="preserve">RTF</t>
  </si>
  <si>
    <t xml:space="preserve">Real-Time Factor. generation_time / audio_duration. RTF &lt; 1 means faster than real-time.</t>
  </si>
  <si>
    <t xml:space="preserve">HF</t>
  </si>
  <si>
    <t xml:space="preserve">Model card</t>
  </si>
  <si>
    <t xml:space="preserve">The README on a Hugging Face model page. Documents usage, training data, intended use, limitations.</t>
  </si>
  <si>
    <t xml:space="preserve">from_pretrained()</t>
  </si>
  <si>
    <t xml:space="preserve">The HF method to download and load a model or tokenizer by ID. Caches in ~/.cache/huggingface/.</t>
  </si>
  <si>
    <t xml:space="preserve">Generic loaders that figure out the right model/tokenizer class from the model ID.</t>
  </si>
  <si>
    <t xml:space="preserve">pipeline()</t>
  </si>
  <si>
    <t xml:space="preserve">The highest-level HF interface. Three lines: load, call, get output. Hides AutoModel + AutoTokenizer + preprocessing.</t>
  </si>
  <si>
    <t xml:space="preserve">trust_remote_code=True</t>
  </si>
  <si>
    <t xml:space="preserve">Allows the model repo to execute its own Python code when loaded. Required by some models (Sooktam-2). Treat untrusted repos with caution.</t>
  </si>
  <si>
    <t xml:space="preserve">Engineering</t>
  </si>
  <si>
    <t xml:space="preserve">Latency</t>
  </si>
  <si>
    <t xml:space="preserve">Wall-clock time from input to output. Lower is better.</t>
  </si>
  <si>
    <t xml:space="preserve">Throughput</t>
  </si>
  <si>
    <t xml:space="preserve">How much work per unit time (audio-seconds processed per inference-second, or tokens/sec).</t>
  </si>
  <si>
    <t xml:space="preserve">Peak GPU memory</t>
  </si>
  <si>
    <t xml:space="preserve">The maximum GPU memory used during an operation. Measured with torch.cuda.max_memory_allocated().</t>
  </si>
  <si>
    <t xml:space="preserve">Why it matters</t>
  </si>
  <si>
    <t xml:space="preserve">Notebook covering numpy, matplotlib, first PyTorch tensor, first HF pipeline() call. reflection.md = 1-page 'what is a NN' in his own words.</t>
  </si>
  <si>
    <t xml:space="preserve">Diagnostic for whether bootstrap landed. Vague reflection -&gt; slow Week 1 down.</t>
  </si>
  <si>
    <t xml:space="preserve">Audio plots + 1-page cheatsheet on sampling rate, mono/stereo, resampling, mel-spectrogram.</t>
  </si>
  <si>
    <t xml:space="preserve">Cheatsheet seeds the handoff package.</t>
  </si>
  <si>
    <t xml:space="preserve">Tutorial: AutoModel/Tokenizer/Processor, cache, eval mode, no_grad. Code + screenshots.</t>
  </si>
  <si>
    <t xml:space="preserve">Writing-for-others test of understanding.</t>
  </si>
  <si>
    <t xml:space="preserve">WER table (Shrutam-2 vs Whisper, per language), profiling table, 5 failure cases with hypotheses.</t>
  </si>
  <si>
    <t xml:space="preserve">First quantitative comparison. Establishes the rigor bar.</t>
  </si>
  <si>
    <t xml:space="preserve">Markdown + audio. Indic Parler comparison. Edge-case failures documented.</t>
  </si>
  <si>
    <t xml:space="preserve">Quality claims backed by listenable artifacts.</t>
  </si>
  <si>
    <t xml:space="preserve">Translation eval + reusable CLI consumed by Week 6 pipeline.</t>
  </si>
  <si>
    <t xml:space="preserve">First reusable artifact.</t>
  </si>
  <si>
    <t xml:space="preserve">Click-through STT -&gt; Translate -&gt; TTS demo. Hand-drawn architecture diagram with memory budget and failure modes.</t>
  </si>
  <si>
    <t xml:space="preserve">The actual goal. Drawing tests understanding.</t>
  </si>
  <si>
    <t xml:space="preserve">Complete handoff: README, SETUP, EXPERIMENTS, NEXT_STEPS, LIMITATIONS, 30-min Loom.</t>
  </si>
  <si>
    <t xml:space="preserve">Next intern starts at Week 6, not Week 0.</t>
  </si>
  <si>
    <t xml:space="preserve">When</t>
  </si>
  <si>
    <t xml:space="preserve">Activity</t>
  </si>
  <si>
    <t xml:space="preserve">Duration</t>
  </si>
  <si>
    <t xml:space="preserve">Format</t>
  </si>
  <si>
    <t xml:space="preserve">Rationale</t>
  </si>
  <si>
    <t xml:space="preserve">Monday morning</t>
  </si>
  <si>
    <t xml:space="preserve">Intern posts the week's plan</t>
  </si>
  <si>
    <t xml:space="preserve">15 min</t>
  </si>
  <si>
    <t xml:space="preserve">Async (Slack)</t>
  </si>
  <si>
    <t xml:space="preserve">Forces intent-setting before the week starts. Monday corrections are cheap; mid-week corrections cost a day.</t>
  </si>
  <si>
    <t xml:space="preserve">Wednesday</t>
  </si>
  <si>
    <t xml:space="preserve">Blocker check (optional)</t>
  </si>
  <si>
    <t xml:space="preserve">10 min</t>
  </si>
  <si>
    <t xml:space="preserve">Slack or call</t>
  </si>
  <si>
    <t xml:space="preserve">Either</t>
  </si>
  <si>
    <t xml:space="preserve">Mid-week safety net. Skip if not blocked. Prevents 'silently stuck Tue-Thu' pattern.</t>
  </si>
  <si>
    <t xml:space="preserve">Friday EOD</t>
  </si>
  <si>
    <t xml:space="preserve">Commit week's deliverable + 5-bullet progress note</t>
  </si>
  <si>
    <t xml:space="preserve">Async</t>
  </si>
  <si>
    <t xml:space="preserve">Git + Slack</t>
  </si>
  <si>
    <t xml:space="preserve">Forced reflection. The 5 bullets become EXPERIMENTS.md timeline in Week 7.</t>
  </si>
  <si>
    <t xml:space="preserve">Friday next day</t>
  </si>
  <si>
    <t xml:space="preserve">Mentor reviews commits</t>
  </si>
  <si>
    <t xml:space="preserve">30 min</t>
  </si>
  <si>
    <t xml:space="preserve">GitHub PR comments</t>
  </si>
  <si>
    <t xml:space="preserve">Async review. Schedules any Monday correction.</t>
  </si>
  <si>
    <t xml:space="preserve">End of each week</t>
  </si>
  <si>
    <t xml:space="preserve">Update Tracker status + evidence links</t>
  </si>
  <si>
    <t xml:space="preserve">5 min</t>
  </si>
  <si>
    <t xml:space="preserve">This spreadsheet</t>
  </si>
  <si>
    <t xml:space="preserve">Single source of truth for progress.</t>
  </si>
  <si>
    <t xml:space="preserve">End of Week 0</t>
  </si>
  <si>
    <t xml:space="preserve">Mentor reads intern's reflection.md</t>
  </si>
  <si>
    <t xml:space="preserve">GitHub</t>
  </si>
  <si>
    <t xml:space="preserve">Bootstrap diagnostic. Vague reflection -&gt; slow Week 1. Specific reflection -&gt; proceed at planned pace.</t>
  </si>
  <si>
    <t xml:space="preserve">Week-7 Success Questions</t>
  </si>
  <si>
    <t xml:space="preserve">If the intern can answer these without hedging at the end of Week 7, the plan worked.</t>
  </si>
  <si>
    <t xml:space="preserve">#</t>
  </si>
  <si>
    <t xml:space="preserve">Question</t>
  </si>
  <si>
    <t xml:space="preserve">What a good answer looks like</t>
  </si>
  <si>
    <t xml:space="preserve">Intern's answer (Week 7)</t>
  </si>
  <si>
    <t xml:space="preserve">For a 10-second Hindi audio file end-to-end translated to English speech, where does the time actually go? Give it to me in milliseconds per stage.</t>
  </si>
  <si>
    <t xml:space="preserve">Stage-by-stage breakdown: ASR ms, translation ms, TTS ms, overhead/copies ms, total ms. Hardware noted. Points at the dominant stage and explains why.</t>
  </si>
  <si>
    <t xml:space="preserve">Why can't we run all three models on a 16 GB GPU simultaneously without something giving?</t>
  </si>
  <si>
    <t xml:space="preserve">Numbers: per-model peak GPU memory. Aggregate. Names the dominant consumer. Discusses fp16/bf16, offload, lazy load as mitigations.</t>
  </si>
  <si>
    <t xml:space="preserve">What's the difference between how Shrutam-2 and Whisper handle code-mixed Hindi-English, based on your measurements?</t>
  </si>
  <si>
    <t xml:space="preserve">WER numbers on the same code-mixed test set. Qualitative observation: where each tokenizer breaks. Speculation about training-data distribution.</t>
  </si>
  <si>
    <t xml:space="preserve">Sooktam-2 is reference-guided. What does that mean for output quality, and what does it mean for inference latency compared to a description-conditioned model like Indic Parler-TTS?</t>
  </si>
  <si>
    <t xml:space="preserve">Quality: bounded by reference clip quality. Latency: extra reference encoding pass, RTF numbers for both. Trade-off articulated.</t>
  </si>
  <si>
    <t xml:space="preserve">If I gave you a 30-minute audio file, what breaks and why?</t>
  </si>
  <si>
    <t xml:space="preserve">Memory growth (KV cache or buffer). Context limits. Chunking strategy needed. Error compounding across chunks for translation stage.</t>
  </si>
  <si>
    <t xml:space="preserve">Don't do this</t>
  </si>
  <si>
    <t xml:space="preserve">Why it's tempting</t>
  </si>
  <si>
    <t xml:space="preserve">Why to avoid</t>
  </si>
  <si>
    <t xml:space="preserve">Implementing a neural network from scratch in numpy</t>
  </si>
  <si>
    <t xml:space="preserve">Feels like 'doing prerequisites properly'.</t>
  </si>
  <si>
    <t xml:space="preserve">Week 0 is conceptual coverage, not building. Implementation can be a post-internship project.</t>
  </si>
  <si>
    <t xml:space="preserve">Reading PyTorch tutorials past 'Tensors'</t>
  </si>
  <si>
    <t xml:space="preserve">PyTorch.org's tutorials look authoritative.</t>
  </si>
  <si>
    <t xml:space="preserve">Autograd / training tutorials are training-stack content. We don't train; reading them muddles the model.</t>
  </si>
  <si>
    <t xml:space="preserve">Stressing over 3Blue1Brown's math</t>
  </si>
  <si>
    <t xml:space="preserve">Math fluency feels prerequisite.</t>
  </si>
  <si>
    <t xml:space="preserve">Watch for intuition, not algebra. Math doesn't gate Week 1.</t>
  </si>
  <si>
    <t xml:space="preserve">Reading Stanford CS224S lectures front-to-back</t>
  </si>
  <si>
    <t xml:space="preserve">Three weeks disappear into lectures with zero code shipped.</t>
  </si>
  <si>
    <t xml:space="preserve">Trying to derive Fourier transforms before plotting one</t>
  </si>
  <si>
    <t xml:space="preserve">First-principles instinct.</t>
  </si>
  <si>
    <t xml:space="preserve">FFT math is not on the critical path to running BharatGen models.</t>
  </si>
  <si>
    <t xml:space="preserve">Fine-tuning anything (LoRA, full, PEFT)</t>
  </si>
  <si>
    <t xml:space="preserve">Most-talked-about thing in ML.</t>
  </si>
  <si>
    <t xml:space="preserve">Half-trained checkpoints with no documentation. Inference depth &gt; training breadth here.</t>
  </si>
  <si>
    <t xml:space="preserve">Pulling in accelerate / bitsandbytes / vLLM</t>
  </si>
  <si>
    <t xml:space="preserve">Sounds professional.</t>
  </si>
  <si>
    <t xml:space="preserve">Adds debugging surface without solving a current problem.</t>
  </si>
  <si>
    <t xml:space="preserve">Trying to 'improve' Shrutam-2</t>
  </si>
  <si>
    <t xml:space="preserve">WER is bad on some clips - instinct is to fix it.</t>
  </si>
  <si>
    <t xml:space="preserve">Reporting numbers without hardware/batch context</t>
  </si>
  <si>
    <t xml:space="preserve">Easy oversight in a hurry.</t>
  </si>
  <si>
    <t xml:space="preserve">A number without context is noise.</t>
  </si>
  <si>
    <t xml:space="preserve">Claiming TTS quality without samples</t>
  </si>
  <si>
    <t xml:space="preserve">'Sounds good' feels honest.</t>
  </si>
  <si>
    <t xml:space="preserve">Blaming the model when the reference clip is bad</t>
  </si>
  <si>
    <t xml:space="preserve">Garbage in is harder to spot than garbage out.</t>
  </si>
  <si>
    <t xml:space="preserve">Wastes weeks debugging the wrong thing.</t>
  </si>
  <si>
    <t xml:space="preserve">Using BLEU as the only translation metric</t>
  </si>
  <si>
    <t xml:space="preserve">It's the metric in every paper.</t>
  </si>
  <si>
    <t xml:space="preserve">Streaming / realtime / WebSockets</t>
  </si>
  <si>
    <t xml:space="preserve">Sounds impressive.</t>
  </si>
  <si>
    <t xml:space="preserve">Docker / Kubernetes containerization</t>
  </si>
  <si>
    <t xml:space="preserve">'Production-ready' instinct.</t>
  </si>
  <si>
    <t xml:space="preserve">Containerization without a deployment target is theater.</t>
  </si>
  <si>
    <t xml:space="preserve">Leaving docs for the last day</t>
  </si>
  <si>
    <t xml:space="preserve">Always tempting.</t>
  </si>
  <si>
    <t xml:space="preserve">Doc-only-in-week-7 misses ~30% of what was done.</t>
  </si>
  <si>
    <t xml:space="preserve">Learning Resources</t>
  </si>
  <si>
    <t xml:space="preserve">Specific, named resources for each week's concepts. Curated, not exhaustive. Primary = required. Supplementary = if interested or stuck.</t>
  </si>
  <si>
    <t xml:space="preserve">Phase</t>
  </si>
  <si>
    <t xml:space="preserve">Topic</t>
  </si>
  <si>
    <t xml:space="preserve">Priority</t>
  </si>
  <si>
    <t xml:space="preserve">Resource</t>
  </si>
  <si>
    <t xml:space="preserve">Type</t>
  </si>
  <si>
    <t xml:space="preserve">Time</t>
  </si>
  <si>
    <t xml:space="preserve">URL</t>
  </si>
  <si>
    <t xml:space="preserve">Pre-start</t>
  </si>
  <si>
    <t xml:space="preserve">RunPod basics</t>
  </si>
  <si>
    <t xml:space="preserve">Primary</t>
  </si>
  <si>
    <t xml:space="preserve">RunPod Pods Overview + Quickstart</t>
  </si>
  <si>
    <t xml:space="preserve">Docs</t>
  </si>
  <si>
    <t xml:space="preserve">https://docs.runpod.io/pods/overview</t>
  </si>
  <si>
    <t xml:space="preserve">BharatGen context</t>
  </si>
  <si>
    <t xml:space="preserve">AI4Bharat blog (skim IndicASR/IndicTTS posts)</t>
  </si>
  <si>
    <t xml:space="preserve">Blog</t>
  </si>
  <si>
    <t xml:space="preserve">1 hour</t>
  </si>
  <si>
    <t xml:space="preserve">https://ai4bharat.iitm.ac.in/blog</t>
  </si>
  <si>
    <t xml:space="preserve">Week 0 Day 1</t>
  </si>
  <si>
    <t xml:space="preserve">numpy</t>
  </si>
  <si>
    <t xml:space="preserve">SciPy Lectures: NumPy</t>
  </si>
  <si>
    <t xml:space="preserve">Course</t>
  </si>
  <si>
    <t xml:space="preserve">2 hours</t>
  </si>
  <si>
    <t xml:space="preserve">https://lectures.scientific-python.org/intro/numpy/index.html</t>
  </si>
  <si>
    <t xml:space="preserve">Supplementary</t>
  </si>
  <si>
    <t xml:space="preserve">NumPy Absolute Beginners guide</t>
  </si>
  <si>
    <t xml:space="preserve">45 min</t>
  </si>
  <si>
    <t xml:space="preserve">https://numpy.org/doc/stable/user/absolute_beginners.html</t>
  </si>
  <si>
    <t xml:space="preserve">Jupyter</t>
  </si>
  <si>
    <t xml:space="preserve">Real Python: Jupyter Notebook Introduction</t>
  </si>
  <si>
    <t xml:space="preserve">Article</t>
  </si>
  <si>
    <t xml:space="preserve">https://realpython.com/jupyter-notebook-introduction/</t>
  </si>
  <si>
    <t xml:space="preserve">venv / uv</t>
  </si>
  <si>
    <t xml:space="preserve">Astral uv: Getting Started</t>
  </si>
  <si>
    <t xml:space="preserve">20 min</t>
  </si>
  <si>
    <t xml:space="preserve">https://docs.astral.sh/uv/getting-started/</t>
  </si>
  <si>
    <t xml:space="preserve">Week 0 Day 2</t>
  </si>
  <si>
    <t xml:space="preserve">matplotlib</t>
  </si>
  <si>
    <t xml:space="preserve">Matplotlib: Pyplot tutorial</t>
  </si>
  <si>
    <t xml:space="preserve">https://matplotlib.org/stable/tutorials/pyplot.html</t>
  </si>
  <si>
    <t xml:space="preserve">librosa (reading practice)</t>
  </si>
  <si>
    <t xml:space="preserve">librosa: Tutorial</t>
  </si>
  <si>
    <t xml:space="preserve">https://librosa.org/doc/latest/tutorial.html</t>
  </si>
  <si>
    <t xml:space="preserve">Week 0 Day 3</t>
  </si>
  <si>
    <t xml:space="preserve">What is a 'model'</t>
  </si>
  <si>
    <t xml:space="preserve">Stephen Wolfram: What Is ChatGPT Doing? (first third only — through 'Inside ChatGPT')</t>
  </si>
  <si>
    <t xml:space="preserve">Essay</t>
  </si>
  <si>
    <t xml:space="preserve">1.5 hours</t>
  </si>
  <si>
    <t xml:space="preserve">https://writings.stephenwolfram.com/2023/02/what-is-chatgpt-doing-and-why-does-it-work/</t>
  </si>
  <si>
    <t xml:space="preserve">Tokenizer concept</t>
  </si>
  <si>
    <t xml:space="preserve">HF Tokenizers: Summary</t>
  </si>
  <si>
    <t xml:space="preserve">https://huggingface.co/docs/transformers/tokenizer_summary</t>
  </si>
  <si>
    <t xml:space="preserve">GPU vs CPU</t>
  </si>
  <si>
    <t xml:space="preserve">NVIDIA blog: CPU vs GPU</t>
  </si>
  <si>
    <t xml:space="preserve">https://blogs.nvidia.com/blog/whats-the-difference-between-a-cpu-and-a-gpu/</t>
  </si>
  <si>
    <t xml:space="preserve">Week 0 Day 4</t>
  </si>
  <si>
    <t xml:space="preserve">Neural network intuition</t>
  </si>
  <si>
    <t xml:space="preserve">3Blue1Brown: Neural Networks (Ch 1-3)</t>
  </si>
  <si>
    <t xml:space="preserve">Video</t>
  </si>
  <si>
    <t xml:space="preserve">60 min</t>
  </si>
  <si>
    <t xml:space="preserve">https://www.youtube.com/playlist?list=PLZHQObOWTQDNU6R1_67000Dx_ZCJB-3pi</t>
  </si>
  <si>
    <t xml:space="preserve">Transformer primer</t>
  </si>
  <si>
    <t xml:space="preserve">Jay Alammar: The Illustrated Transformer (first 1/3 only)</t>
  </si>
  <si>
    <t xml:space="preserve">https://jalammar.github.io/illustrated-transformer/</t>
  </si>
  <si>
    <t xml:space="preserve">Week 0 Day 5</t>
  </si>
  <si>
    <t xml:space="preserve">PyTorch tensors</t>
  </si>
  <si>
    <t xml:space="preserve">PyTorch: Tensors tutorial (STOP after this — don't continue to Autograd)</t>
  </si>
  <si>
    <t xml:space="preserve">Tutorial</t>
  </si>
  <si>
    <t xml:space="preserve">https://pytorch.org/tutorials/beginner/basics/tensorqs_tutorial.html</t>
  </si>
  <si>
    <t xml:space="preserve">HF pipeline()</t>
  </si>
  <si>
    <t xml:space="preserve">HF LLM Course Ch 1.3: Transformers, what can they do?</t>
  </si>
  <si>
    <t xml:space="preserve">https://huggingface.co/learn/llm-course/chapter1/3</t>
  </si>
  <si>
    <t xml:space="preserve">Audio data fundamentals</t>
  </si>
  <si>
    <t xml:space="preserve">HF Audio Course Unit 1: Working with audio data</t>
  </si>
  <si>
    <t xml:space="preserve">https://huggingface.co/learn/audio-course/chapter1/introduction</t>
  </si>
  <si>
    <t xml:space="preserve">librosa examples</t>
  </si>
  <si>
    <t xml:space="preserve">librosa: Audio examples gallery</t>
  </si>
  <si>
    <t xml:space="preserve">browse</t>
  </si>
  <si>
    <t xml:space="preserve">https://librosa.org/doc/latest/auto_examples/index.html</t>
  </si>
  <si>
    <t xml:space="preserve">Using HF Transformers</t>
  </si>
  <si>
    <t xml:space="preserve">HF LLM Course Ch 2: Using Transformers (AutoModel, AutoTokenizer, pipeline internals)</t>
  </si>
  <si>
    <t xml:space="preserve">2-3 hours</t>
  </si>
  <si>
    <t xml:space="preserve">https://huggingface.co/learn/llm-course/chapter2/1</t>
  </si>
  <si>
    <t xml:space="preserve">Audio pipelines</t>
  </si>
  <si>
    <t xml:space="preserve">HF Audio Course Unit 2: A gentle intro to audio applications</t>
  </si>
  <si>
    <t xml:space="preserve">https://huggingface.co/learn/audio-course/chapter2/introduction</t>
  </si>
  <si>
    <t xml:space="preserve">Transformer architectures for audio</t>
  </si>
  <si>
    <t xml:space="preserve">HF Audio Course Unit 3: Transformer architectures for audio</t>
  </si>
  <si>
    <t xml:space="preserve">https://huggingface.co/learn/audio-course/chapter3/introduction</t>
  </si>
  <si>
    <t xml:space="preserve">ASR / WER</t>
  </si>
  <si>
    <t xml:space="preserve">HF Audio Course Unit 5: Automatic Speech Recognition</t>
  </si>
  <si>
    <t xml:space="preserve">https://huggingface.co/learn/audio-course/chapter5/introduction</t>
  </si>
  <si>
    <t xml:space="preserve">WER computation</t>
  </si>
  <si>
    <t xml:space="preserve">jiwer library README</t>
  </si>
  <si>
    <t xml:space="preserve">https://github.com/jitsi/jiwer</t>
  </si>
  <si>
    <t xml:space="preserve">Whisper context</t>
  </si>
  <si>
    <t xml:space="preserve">OpenAI Whisper paper (skim)</t>
  </si>
  <si>
    <t xml:space="preserve">Paper</t>
  </si>
  <si>
    <t xml:space="preserve">https://arxiv.org/abs/2212.04356</t>
  </si>
  <si>
    <t xml:space="preserve">TTS fundamentals</t>
  </si>
  <si>
    <t xml:space="preserve">HF Audio Course Unit 6: From text to speech</t>
  </si>
  <si>
    <t xml:space="preserve">https://huggingface.co/learn/audio-course/chapter6/introduction</t>
  </si>
  <si>
    <t xml:space="preserve">Translation / seq2seq</t>
  </si>
  <si>
    <t xml:space="preserve">HF LLM Course Ch 7.4: Translation</t>
  </si>
  <si>
    <t xml:space="preserve">https://huggingface.co/learn/llm-course/chapter7/4</t>
  </si>
  <si>
    <t xml:space="preserve">Encoder-decoder deep dive</t>
  </si>
  <si>
    <t xml:space="preserve">Jay Alammar: The Illustrated Transformer (full read this time)</t>
  </si>
  <si>
    <t xml:space="preserve">IndicTrans2 context</t>
  </si>
  <si>
    <t xml:space="preserve">IndicTrans2 paper (skim Sections 1-3)</t>
  </si>
  <si>
    <t xml:space="preserve">https://arxiv.org/abs/2305.16307</t>
  </si>
  <si>
    <t xml:space="preserve">Speech-to-speech pipeline</t>
  </si>
  <si>
    <t xml:space="preserve">HF Audio Course Unit 7: Putting it all together (speech-to-speech translation chapter)</t>
  </si>
  <si>
    <t xml:space="preserve">https://huggingface.co/learn/audio-course/chapter7/introduction</t>
  </si>
  <si>
    <t xml:space="preserve">Gradio Quickstart</t>
  </si>
  <si>
    <t xml:space="preserve">https://www.gradio.app/guides/quickstart</t>
  </si>
  <si>
    <t xml:space="preserve">GPU memory management</t>
  </si>
  <si>
    <t xml:space="preserve">PyTorch: CUDA semantics</t>
  </si>
  <si>
    <t xml:space="preserve">https://pytorch.org/docs/stable/notes/cuda.html</t>
  </si>
  <si>
    <t xml:space="preserve">PyTorch profiling</t>
  </si>
  <si>
    <t xml:space="preserve">PyTorch: Profiler recipe</t>
  </si>
  <si>
    <t xml:space="preserve">https://pytorch.org/tutorials/recipes/recipes/profiler_recipe.html</t>
  </si>
  <si>
    <t xml:space="preserve">Technical writing structure</t>
  </si>
  <si>
    <t xml:space="preserve">Diátaxis framework (4 doc types: tutorials, how-tos, reference, explanations)</t>
  </si>
  <si>
    <t xml:space="preserve">Reading</t>
  </si>
  <si>
    <t xml:space="preserve">https://diataxis.fr/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</si>
</sst>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8CBAD"/>
        <bgColor rgb="FFFFC7CE"/>
      </patternFill>
    </fill>
    <fill>
      <patternFill patternType="solid">
        <fgColor rgb="FFC6EFCE"/>
        <bgColor rgb="FFE2EFDA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DED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docs.runpod.io/pods/overview" TargetMode="External"/><Relationship Id="rId2" Type="http://schemas.openxmlformats.org/officeDocument/2006/relationships/hyperlink" Target="https://ai4bharat.iitm.ac.in/blog" TargetMode="External"/><Relationship Id="rId3" Type="http://schemas.openxmlformats.org/officeDocument/2006/relationships/hyperlink" Target="https://lectures.scientific-python.org/intro/numpy/index.html" TargetMode="External"/><Relationship Id="rId4" Type="http://schemas.openxmlformats.org/officeDocument/2006/relationships/hyperlink" Target="https://numpy.org/doc/stable/user/absolute_beginners.html" TargetMode="External"/><Relationship Id="rId5" Type="http://schemas.openxmlformats.org/officeDocument/2006/relationships/hyperlink" Target="https://realpython.com/jupyter-notebook-introduction/" TargetMode="External"/><Relationship Id="rId6" Type="http://schemas.openxmlformats.org/officeDocument/2006/relationships/hyperlink" Target="https://docs.astral.sh/uv/getting-started/" TargetMode="External"/><Relationship Id="rId7" Type="http://schemas.openxmlformats.org/officeDocument/2006/relationships/hyperlink" Target="https://matplotlib.org/stable/tutorials/pyplot.html" TargetMode="External"/><Relationship Id="rId8" Type="http://schemas.openxmlformats.org/officeDocument/2006/relationships/hyperlink" Target="https://librosa.org/doc/latest/tutorial.html" TargetMode="External"/><Relationship Id="rId9" Type="http://schemas.openxmlformats.org/officeDocument/2006/relationships/hyperlink" Target="https://writings.stephenwolfram.com/2023/02/what-is-chatgpt-doing-and-why-does-it-work/" TargetMode="External"/><Relationship Id="rId10" Type="http://schemas.openxmlformats.org/officeDocument/2006/relationships/hyperlink" Target="https://huggingface.co/docs/transformers/tokenizer_summary" TargetMode="External"/><Relationship Id="rId11" Type="http://schemas.openxmlformats.org/officeDocument/2006/relationships/hyperlink" Target="https://blogs.nvidia.com/blog/whats-the-difference-between-a-cpu-and-a-gpu/" TargetMode="External"/><Relationship Id="rId12" Type="http://schemas.openxmlformats.org/officeDocument/2006/relationships/hyperlink" Target="https://www.youtube.com/playlist?list=PLZHQObOWTQDNU6R1_67000Dx_ZCJB-3pi" TargetMode="External"/><Relationship Id="rId13" Type="http://schemas.openxmlformats.org/officeDocument/2006/relationships/hyperlink" Target="https://jalammar.github.io/illustrated-transformer/" TargetMode="External"/><Relationship Id="rId14" Type="http://schemas.openxmlformats.org/officeDocument/2006/relationships/hyperlink" Target="https://pytorch.org/tutorials/beginner/basics/tensorqs_tutorial.html" TargetMode="External"/><Relationship Id="rId15" Type="http://schemas.openxmlformats.org/officeDocument/2006/relationships/hyperlink" Target="https://huggingface.co/learn/llm-course/chapter1/3" TargetMode="External"/><Relationship Id="rId16" Type="http://schemas.openxmlformats.org/officeDocument/2006/relationships/hyperlink" Target="https://huggingface.co/learn/audio-course/chapter1/introduction" TargetMode="External"/><Relationship Id="rId17" Type="http://schemas.openxmlformats.org/officeDocument/2006/relationships/hyperlink" Target="https://librosa.org/doc/latest/auto_examples/index.html" TargetMode="External"/><Relationship Id="rId18" Type="http://schemas.openxmlformats.org/officeDocument/2006/relationships/hyperlink" Target="https://huggingface.co/learn/llm-course/chapter2/1" TargetMode="External"/><Relationship Id="rId19" Type="http://schemas.openxmlformats.org/officeDocument/2006/relationships/hyperlink" Target="https://huggingface.co/learn/audio-course/chapter2/introduction" TargetMode="External"/><Relationship Id="rId20" Type="http://schemas.openxmlformats.org/officeDocument/2006/relationships/hyperlink" Target="https://huggingface.co/learn/audio-course/chapter3/introduction" TargetMode="External"/><Relationship Id="rId21" Type="http://schemas.openxmlformats.org/officeDocument/2006/relationships/hyperlink" Target="https://huggingface.co/learn/audio-course/chapter5/introduction" TargetMode="External"/><Relationship Id="rId22" Type="http://schemas.openxmlformats.org/officeDocument/2006/relationships/hyperlink" Target="https://github.com/jitsi/jiwer" TargetMode="External"/><Relationship Id="rId23" Type="http://schemas.openxmlformats.org/officeDocument/2006/relationships/hyperlink" Target="https://arxiv.org/abs/2212.04356" TargetMode="External"/><Relationship Id="rId24" Type="http://schemas.openxmlformats.org/officeDocument/2006/relationships/hyperlink" Target="https://huggingface.co/learn/audio-course/chapter6/introduction" TargetMode="External"/><Relationship Id="rId25" Type="http://schemas.openxmlformats.org/officeDocument/2006/relationships/hyperlink" Target="https://huggingface.co/learn/llm-course/chapter7/4" TargetMode="External"/><Relationship Id="rId26" Type="http://schemas.openxmlformats.org/officeDocument/2006/relationships/hyperlink" Target="https://jalammar.github.io/illustrated-transformer/" TargetMode="External"/><Relationship Id="rId27" Type="http://schemas.openxmlformats.org/officeDocument/2006/relationships/hyperlink" Target="https://arxiv.org/abs/2305.16307" TargetMode="External"/><Relationship Id="rId28" Type="http://schemas.openxmlformats.org/officeDocument/2006/relationships/hyperlink" Target="https://huggingface.co/learn/audio-course/chapter7/introduction" TargetMode="External"/><Relationship Id="rId29" Type="http://schemas.openxmlformats.org/officeDocument/2006/relationships/hyperlink" Target="https://www.gradio.app/guides/quickstart" TargetMode="External"/><Relationship Id="rId30" Type="http://schemas.openxmlformats.org/officeDocument/2006/relationships/hyperlink" Target="https://pytorch.org/docs/stable/notes/cuda.html" TargetMode="External"/><Relationship Id="rId31" Type="http://schemas.openxmlformats.org/officeDocument/2006/relationships/hyperlink" Target="https://pytorch.org/tutorials/recipes/recipes/profiler_recipe.html" TargetMode="External"/><Relationship Id="rId32" Type="http://schemas.openxmlformats.org/officeDocument/2006/relationships/hyperlink" Target="https://diataxis.fr/" TargetMode="External"/><Relationship Id="rId33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2"/>
    <col collapsed="false" customWidth="true" hidden="false" outlineLevel="0" max="4" min="3" style="1" width="16"/>
  </cols>
  <sheetData>
    <row r="1" customFormat="false" ht="19.7" hidden="false" customHeight="false" outlineLevel="0" collapsed="false">
      <c r="A1" s="2" t="s">
        <v>0</v>
      </c>
      <c r="B1" s="2"/>
      <c r="C1" s="2"/>
      <c r="D1" s="2"/>
    </row>
    <row r="3" customFormat="false" ht="15" hidden="false" customHeight="false" outlineLevel="0" collapsed="false">
      <c r="A3" s="3" t="s">
        <v>1</v>
      </c>
      <c r="B3" s="3"/>
      <c r="C3" s="3"/>
      <c r="D3" s="3"/>
    </row>
    <row r="4" customFormat="false" ht="15" hidden="false" customHeight="false" outlineLevel="0" collapsed="false">
      <c r="A4" s="4" t="s">
        <v>2</v>
      </c>
      <c r="B4" s="5" t="s">
        <v>3</v>
      </c>
    </row>
    <row r="5" customFormat="false" ht="15" hidden="false" customHeight="false" outlineLevel="0" collapsed="false">
      <c r="A5" s="4" t="s">
        <v>4</v>
      </c>
      <c r="B5" s="5" t="s">
        <v>3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6" t="str">
        <f aca="false">IF(ISNUMBER(B6),B6+55,"set start date")</f>
        <v>set start date</v>
      </c>
    </row>
    <row r="8" customFormat="false" ht="15" hidden="false" customHeight="false" outlineLevel="0" collapsed="false">
      <c r="A8" s="4" t="s">
        <v>8</v>
      </c>
      <c r="B8" s="5" t="s">
        <v>3</v>
      </c>
    </row>
    <row r="9" customFormat="false" ht="26.85" hidden="false" customHeight="false" outlineLevel="0" collapsed="false">
      <c r="A9" s="4" t="s">
        <v>9</v>
      </c>
      <c r="B9" s="5" t="s">
        <v>10</v>
      </c>
    </row>
    <row r="10" customFormat="false" ht="15" hidden="false" customHeight="false" outlineLevel="0" collapsed="false">
      <c r="A10" s="4" t="s">
        <v>11</v>
      </c>
      <c r="B10" s="5" t="s">
        <v>12</v>
      </c>
    </row>
    <row r="12" customFormat="false" ht="15" hidden="false" customHeight="false" outlineLevel="0" collapsed="false">
      <c r="A12" s="3" t="s">
        <v>13</v>
      </c>
      <c r="B12" s="3"/>
      <c r="C12" s="3"/>
      <c r="D12" s="3"/>
    </row>
    <row r="13" customFormat="false" ht="15" hidden="false" customHeight="true" outlineLevel="0" collapsed="false">
      <c r="A13" s="7" t="s">
        <v>14</v>
      </c>
      <c r="B13" s="7"/>
      <c r="C13" s="7"/>
      <c r="D13" s="7"/>
    </row>
    <row r="14" customFormat="false" ht="15" hidden="false" customHeight="false" outlineLevel="0" collapsed="false">
      <c r="A14" s="7"/>
      <c r="B14" s="7"/>
      <c r="C14" s="7"/>
      <c r="D14" s="7"/>
    </row>
    <row r="16" customFormat="false" ht="15" hidden="false" customHeight="false" outlineLevel="0" collapsed="false">
      <c r="A16" s="3" t="s">
        <v>15</v>
      </c>
      <c r="B16" s="3"/>
      <c r="C16" s="3"/>
      <c r="D16" s="3"/>
    </row>
    <row r="17" customFormat="false" ht="15" hidden="false" customHeight="false" outlineLevel="0" collapsed="false">
      <c r="A17" s="4" t="s">
        <v>16</v>
      </c>
      <c r="B17" s="8" t="n">
        <f aca="false">COUNTA(Tracker!D2:D300)</f>
        <v>98</v>
      </c>
    </row>
    <row r="18" customFormat="false" ht="15" hidden="false" customHeight="false" outlineLevel="0" collapsed="false">
      <c r="A18" s="4" t="s">
        <v>17</v>
      </c>
      <c r="B18" s="8" t="n">
        <f aca="false">COUNTIF(Tracker!H2:H300,"Done")</f>
        <v>0</v>
      </c>
    </row>
    <row r="19" customFormat="false" ht="15" hidden="false" customHeight="false" outlineLevel="0" collapsed="false">
      <c r="A19" s="4" t="s">
        <v>18</v>
      </c>
      <c r="B19" s="8" t="n">
        <f aca="false">COUNTIF(Tracker!H2:H300,"In Progress")</f>
        <v>0</v>
      </c>
    </row>
    <row r="20" customFormat="false" ht="15" hidden="false" customHeight="false" outlineLevel="0" collapsed="false">
      <c r="A20" s="4" t="s">
        <v>19</v>
      </c>
      <c r="B20" s="8" t="n">
        <f aca="false">COUNTIF(Tracker!H2:H300,"Blocked")</f>
        <v>0</v>
      </c>
    </row>
    <row r="21" customFormat="false" ht="15" hidden="false" customHeight="false" outlineLevel="0" collapsed="false">
      <c r="A21" s="4" t="s">
        <v>20</v>
      </c>
      <c r="B21" s="8" t="n">
        <f aca="false">COUNTIF(Tracker!H2:H300,"Not Started")</f>
        <v>98</v>
      </c>
    </row>
    <row r="22" customFormat="false" ht="15" hidden="false" customHeight="false" outlineLevel="0" collapsed="false">
      <c r="A22" s="4" t="s">
        <v>21</v>
      </c>
      <c r="B22" s="9" t="n">
        <f aca="false">IF(B17=0,0,B18/B17)</f>
        <v>0</v>
      </c>
    </row>
  </sheetData>
  <mergeCells count="5">
    <mergeCell ref="A1:D1"/>
    <mergeCell ref="A3:D3"/>
    <mergeCell ref="A12:D12"/>
    <mergeCell ref="A13:D14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89" activePane="bottomLeft" state="frozen"/>
      <selection pane="topLeft" activeCell="A1" activeCellId="0" sqref="A1"/>
      <selection pane="bottomLeft" activeCell="D19" activeCellId="0" sqref="D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30"/>
    <col collapsed="false" customWidth="true" hidden="false" outlineLevel="0" max="5" min="5" style="1" width="50"/>
    <col collapsed="false" customWidth="true" hidden="false" outlineLevel="0" max="6" min="6" style="1" width="55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10" min="9" style="1" width="24"/>
  </cols>
  <sheetData>
    <row r="1" customFormat="false" ht="31.5" hidden="false" customHeight="true" outlineLevel="0" collapsed="false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</row>
    <row r="2" customFormat="false" ht="61.5" hidden="false" customHeight="true" outlineLevel="0" collapsed="false">
      <c r="A2" s="11" t="s">
        <v>32</v>
      </c>
      <c r="B2" s="12" t="str">
        <f aca="false">IF(ISNUMBER(Overview!B6),Overview!B6+0,"")</f>
        <v/>
      </c>
      <c r="C2" s="13" t="s">
        <v>33</v>
      </c>
      <c r="D2" s="11" t="s">
        <v>34</v>
      </c>
      <c r="E2" s="11" t="s">
        <v>35</v>
      </c>
      <c r="F2" s="11" t="s">
        <v>36</v>
      </c>
      <c r="G2" s="11" t="s">
        <v>37</v>
      </c>
      <c r="H2" s="11" t="s">
        <v>20</v>
      </c>
      <c r="I2" s="11"/>
      <c r="J2" s="11"/>
    </row>
    <row r="3" customFormat="false" ht="61.5" hidden="false" customHeight="true" outlineLevel="0" collapsed="false">
      <c r="A3" s="11" t="s">
        <v>32</v>
      </c>
      <c r="B3" s="12" t="str">
        <f aca="false">IF(ISNUMBER(Overview!B6),Overview!B6+0,"")</f>
        <v/>
      </c>
      <c r="C3" s="13" t="s">
        <v>33</v>
      </c>
      <c r="D3" s="11" t="s">
        <v>38</v>
      </c>
      <c r="E3" s="11" t="s">
        <v>39</v>
      </c>
      <c r="F3" s="11" t="s">
        <v>40</v>
      </c>
      <c r="G3" s="11" t="s">
        <v>41</v>
      </c>
      <c r="H3" s="11" t="s">
        <v>20</v>
      </c>
      <c r="I3" s="11"/>
      <c r="J3" s="11"/>
    </row>
    <row r="4" customFormat="false" ht="61.5" hidden="false" customHeight="true" outlineLevel="0" collapsed="false">
      <c r="A4" s="11" t="s">
        <v>32</v>
      </c>
      <c r="B4" s="12" t="str">
        <f aca="false">IF(ISNUMBER(Overview!B6),Overview!B6+0,"")</f>
        <v/>
      </c>
      <c r="C4" s="13" t="s">
        <v>33</v>
      </c>
      <c r="D4" s="11" t="s">
        <v>42</v>
      </c>
      <c r="E4" s="11" t="s">
        <v>43</v>
      </c>
      <c r="F4" s="11" t="s">
        <v>44</v>
      </c>
      <c r="G4" s="11" t="s">
        <v>37</v>
      </c>
      <c r="H4" s="11" t="s">
        <v>20</v>
      </c>
      <c r="I4" s="11"/>
      <c r="J4" s="11"/>
    </row>
    <row r="5" customFormat="false" ht="61.5" hidden="false" customHeight="true" outlineLevel="0" collapsed="false">
      <c r="A5" s="11" t="s">
        <v>32</v>
      </c>
      <c r="B5" s="12" t="str">
        <f aca="false">IF(ISNUMBER(Overview!B6),Overview!B6+0,"")</f>
        <v/>
      </c>
      <c r="C5" s="13" t="s">
        <v>33</v>
      </c>
      <c r="D5" s="11" t="s">
        <v>45</v>
      </c>
      <c r="E5" s="11" t="s">
        <v>46</v>
      </c>
      <c r="F5" s="11" t="s">
        <v>47</v>
      </c>
      <c r="G5" s="11" t="s">
        <v>41</v>
      </c>
      <c r="H5" s="11" t="s">
        <v>20</v>
      </c>
      <c r="I5" s="11"/>
      <c r="J5" s="11"/>
    </row>
    <row r="6" customFormat="false" ht="61.5" hidden="false" customHeight="true" outlineLevel="0" collapsed="false">
      <c r="A6" s="11" t="s">
        <v>32</v>
      </c>
      <c r="B6" s="12" t="str">
        <f aca="false">IF(ISNUMBER(Overview!B6),Overview!B6+0,"")</f>
        <v/>
      </c>
      <c r="C6" s="13" t="s">
        <v>33</v>
      </c>
      <c r="D6" s="11" t="s">
        <v>48</v>
      </c>
      <c r="E6" s="11" t="s">
        <v>49</v>
      </c>
      <c r="F6" s="11" t="s">
        <v>50</v>
      </c>
      <c r="G6" s="11" t="s">
        <v>37</v>
      </c>
      <c r="H6" s="11" t="s">
        <v>20</v>
      </c>
      <c r="I6" s="11"/>
      <c r="J6" s="11"/>
    </row>
    <row r="7" customFormat="false" ht="61.5" hidden="false" customHeight="true" outlineLevel="0" collapsed="false">
      <c r="A7" s="11" t="s">
        <v>32</v>
      </c>
      <c r="B7" s="12" t="str">
        <f aca="false">IF(ISNUMBER(Overview!B6),Overview!B6+0,"")</f>
        <v/>
      </c>
      <c r="C7" s="13" t="s">
        <v>33</v>
      </c>
      <c r="D7" s="11" t="s">
        <v>51</v>
      </c>
      <c r="E7" s="11" t="s">
        <v>52</v>
      </c>
      <c r="F7" s="11" t="s">
        <v>53</v>
      </c>
      <c r="G7" s="11" t="s">
        <v>37</v>
      </c>
      <c r="H7" s="11" t="s">
        <v>20</v>
      </c>
      <c r="I7" s="11"/>
      <c r="J7" s="11"/>
    </row>
    <row r="8" customFormat="false" ht="61.5" hidden="false" customHeight="true" outlineLevel="0" collapsed="false">
      <c r="A8" s="11" t="s">
        <v>32</v>
      </c>
      <c r="B8" s="12" t="str">
        <f aca="false">IF(ISNUMBER(Overview!B6),Overview!B6+0,"")</f>
        <v/>
      </c>
      <c r="C8" s="14" t="s">
        <v>54</v>
      </c>
      <c r="D8" s="11" t="s">
        <v>55</v>
      </c>
      <c r="E8" s="11" t="s">
        <v>56</v>
      </c>
      <c r="F8" s="11" t="s">
        <v>57</v>
      </c>
      <c r="G8" s="11" t="s">
        <v>37</v>
      </c>
      <c r="H8" s="11" t="s">
        <v>20</v>
      </c>
      <c r="I8" s="11"/>
      <c r="J8" s="11"/>
    </row>
    <row r="9" customFormat="false" ht="61.5" hidden="false" customHeight="true" outlineLevel="0" collapsed="false">
      <c r="A9" s="11" t="s">
        <v>32</v>
      </c>
      <c r="B9" s="12" t="str">
        <f aca="false">IF(ISNUMBER(Overview!B6),Overview!B6+0,"")</f>
        <v/>
      </c>
      <c r="C9" s="14" t="s">
        <v>54</v>
      </c>
      <c r="D9" s="11" t="s">
        <v>58</v>
      </c>
      <c r="E9" s="11" t="s">
        <v>59</v>
      </c>
      <c r="F9" s="11" t="s">
        <v>60</v>
      </c>
      <c r="G9" s="11" t="s">
        <v>37</v>
      </c>
      <c r="H9" s="11" t="s">
        <v>20</v>
      </c>
      <c r="I9" s="11"/>
      <c r="J9" s="11"/>
    </row>
    <row r="10" customFormat="false" ht="61.5" hidden="false" customHeight="true" outlineLevel="0" collapsed="false">
      <c r="A10" s="11" t="s">
        <v>32</v>
      </c>
      <c r="B10" s="12" t="str">
        <f aca="false">IF(ISNUMBER(Overview!B6),Overview!B6+0,"")</f>
        <v/>
      </c>
      <c r="C10" s="15" t="s">
        <v>61</v>
      </c>
      <c r="D10" s="11" t="s">
        <v>62</v>
      </c>
      <c r="E10" s="11" t="s">
        <v>63</v>
      </c>
      <c r="F10" s="11" t="s">
        <v>64</v>
      </c>
      <c r="G10" s="11" t="s">
        <v>37</v>
      </c>
      <c r="H10" s="11" t="s">
        <v>20</v>
      </c>
      <c r="I10" s="11"/>
      <c r="J10" s="11"/>
    </row>
    <row r="11" customFormat="false" ht="61.5" hidden="false" customHeight="true" outlineLevel="0" collapsed="false">
      <c r="A11" s="11" t="s">
        <v>32</v>
      </c>
      <c r="B11" s="12" t="str">
        <f aca="false">IF(ISNUMBER(Overview!B6),Overview!B6+0,"")</f>
        <v/>
      </c>
      <c r="C11" s="15" t="s">
        <v>61</v>
      </c>
      <c r="D11" s="11" t="s">
        <v>65</v>
      </c>
      <c r="E11" s="11" t="s">
        <v>66</v>
      </c>
      <c r="F11" s="11" t="s">
        <v>67</v>
      </c>
      <c r="G11" s="11" t="s">
        <v>37</v>
      </c>
      <c r="H11" s="11" t="s">
        <v>20</v>
      </c>
      <c r="I11" s="11"/>
      <c r="J11" s="11"/>
    </row>
    <row r="12" customFormat="false" ht="61.5" hidden="false" customHeight="true" outlineLevel="0" collapsed="false">
      <c r="A12" s="11" t="s">
        <v>32</v>
      </c>
      <c r="B12" s="12" t="str">
        <f aca="false">IF(ISNUMBER(Overview!B6),Overview!B6+0,"")</f>
        <v/>
      </c>
      <c r="C12" s="14" t="s">
        <v>54</v>
      </c>
      <c r="D12" s="11" t="s">
        <v>68</v>
      </c>
      <c r="E12" s="11" t="s">
        <v>69</v>
      </c>
      <c r="F12" s="11" t="s">
        <v>70</v>
      </c>
      <c r="G12" s="11" t="s">
        <v>37</v>
      </c>
      <c r="H12" s="11" t="s">
        <v>20</v>
      </c>
      <c r="I12" s="11"/>
      <c r="J12" s="11"/>
    </row>
    <row r="13" customFormat="false" ht="61.5" hidden="false" customHeight="true" outlineLevel="0" collapsed="false">
      <c r="A13" s="11" t="s">
        <v>32</v>
      </c>
      <c r="B13" s="12" t="str">
        <f aca="false">IF(ISNUMBER(Overview!B6),Overview!B6+0,"")</f>
        <v/>
      </c>
      <c r="C13" s="15" t="s">
        <v>61</v>
      </c>
      <c r="D13" s="11" t="s">
        <v>71</v>
      </c>
      <c r="E13" s="11" t="s">
        <v>72</v>
      </c>
      <c r="F13" s="11" t="s">
        <v>73</v>
      </c>
      <c r="G13" s="11" t="s">
        <v>37</v>
      </c>
      <c r="H13" s="11" t="s">
        <v>20</v>
      </c>
      <c r="I13" s="11"/>
      <c r="J13" s="11"/>
    </row>
    <row r="14" customFormat="false" ht="61.5" hidden="false" customHeight="true" outlineLevel="0" collapsed="false">
      <c r="A14" s="11" t="s">
        <v>32</v>
      </c>
      <c r="B14" s="12" t="str">
        <f aca="false">IF(ISNUMBER(Overview!B6),Overview!B6+0,"")</f>
        <v/>
      </c>
      <c r="C14" s="15" t="s">
        <v>61</v>
      </c>
      <c r="D14" s="11" t="s">
        <v>74</v>
      </c>
      <c r="E14" s="11" t="s">
        <v>75</v>
      </c>
      <c r="F14" s="11" t="s">
        <v>76</v>
      </c>
      <c r="G14" s="11" t="s">
        <v>37</v>
      </c>
      <c r="H14" s="11" t="s">
        <v>20</v>
      </c>
      <c r="I14" s="11"/>
      <c r="J14" s="11"/>
    </row>
    <row r="15" customFormat="false" ht="61.5" hidden="false" customHeight="true" outlineLevel="0" collapsed="false">
      <c r="A15" s="11" t="s">
        <v>32</v>
      </c>
      <c r="B15" s="12" t="str">
        <f aca="false">IF(ISNUMBER(Overview!B6),Overview!B6+0,"")</f>
        <v/>
      </c>
      <c r="C15" s="14" t="s">
        <v>54</v>
      </c>
      <c r="D15" s="11" t="s">
        <v>77</v>
      </c>
      <c r="E15" s="11" t="s">
        <v>78</v>
      </c>
      <c r="F15" s="11" t="s">
        <v>79</v>
      </c>
      <c r="G15" s="11" t="s">
        <v>37</v>
      </c>
      <c r="H15" s="11" t="s">
        <v>20</v>
      </c>
      <c r="I15" s="11"/>
      <c r="J15" s="11"/>
    </row>
    <row r="16" customFormat="false" ht="61.5" hidden="false" customHeight="true" outlineLevel="0" collapsed="false">
      <c r="A16" s="11" t="s">
        <v>32</v>
      </c>
      <c r="B16" s="12" t="str">
        <f aca="false">IF(ISNUMBER(Overview!B6),Overview!B6+0,"")</f>
        <v/>
      </c>
      <c r="C16" s="14" t="s">
        <v>54</v>
      </c>
      <c r="D16" s="11" t="s">
        <v>80</v>
      </c>
      <c r="E16" s="11" t="s">
        <v>81</v>
      </c>
      <c r="F16" s="11" t="s">
        <v>82</v>
      </c>
      <c r="G16" s="11" t="s">
        <v>37</v>
      </c>
      <c r="H16" s="11" t="s">
        <v>20</v>
      </c>
      <c r="I16" s="11"/>
      <c r="J16" s="11"/>
    </row>
    <row r="17" customFormat="false" ht="61.5" hidden="false" customHeight="true" outlineLevel="0" collapsed="false">
      <c r="A17" s="11" t="s">
        <v>32</v>
      </c>
      <c r="B17" s="12" t="str">
        <f aca="false">IF(ISNUMBER(Overview!B6),Overview!B6+0,"")</f>
        <v/>
      </c>
      <c r="C17" s="14" t="s">
        <v>54</v>
      </c>
      <c r="D17" s="11" t="s">
        <v>83</v>
      </c>
      <c r="E17" s="11" t="s">
        <v>84</v>
      </c>
      <c r="F17" s="11" t="s">
        <v>85</v>
      </c>
      <c r="G17" s="11" t="s">
        <v>37</v>
      </c>
      <c r="H17" s="11" t="s">
        <v>20</v>
      </c>
      <c r="I17" s="11"/>
      <c r="J17" s="11"/>
    </row>
    <row r="18" customFormat="false" ht="61.5" hidden="false" customHeight="true" outlineLevel="0" collapsed="false">
      <c r="A18" s="11" t="s">
        <v>32</v>
      </c>
      <c r="B18" s="12" t="str">
        <f aca="false">IF(ISNUMBER(Overview!B6),Overview!B6+0,"")</f>
        <v/>
      </c>
      <c r="C18" s="14" t="s">
        <v>54</v>
      </c>
      <c r="D18" s="11" t="s">
        <v>86</v>
      </c>
      <c r="E18" s="11" t="s">
        <v>87</v>
      </c>
      <c r="F18" s="11" t="s">
        <v>88</v>
      </c>
      <c r="G18" s="11" t="s">
        <v>37</v>
      </c>
      <c r="H18" s="11" t="s">
        <v>20</v>
      </c>
      <c r="I18" s="11"/>
      <c r="J18" s="11"/>
    </row>
    <row r="19" customFormat="false" ht="61.5" hidden="false" customHeight="true" outlineLevel="0" collapsed="false">
      <c r="A19" s="11" t="s">
        <v>32</v>
      </c>
      <c r="B19" s="12" t="str">
        <f aca="false">IF(ISNUMBER(Overview!B6),Overview!B6+0,"")</f>
        <v/>
      </c>
      <c r="C19" s="14" t="s">
        <v>54</v>
      </c>
      <c r="D19" s="11" t="s">
        <v>89</v>
      </c>
      <c r="E19" s="11" t="s">
        <v>90</v>
      </c>
      <c r="F19" s="11" t="s">
        <v>91</v>
      </c>
      <c r="G19" s="11" t="s">
        <v>37</v>
      </c>
      <c r="H19" s="11" t="s">
        <v>20</v>
      </c>
      <c r="I19" s="11"/>
      <c r="J19" s="11"/>
    </row>
    <row r="20" customFormat="false" ht="61.5" hidden="false" customHeight="true" outlineLevel="0" collapsed="false">
      <c r="A20" s="11" t="s">
        <v>32</v>
      </c>
      <c r="B20" s="12" t="str">
        <f aca="false">IF(ISNUMBER(Overview!B6),Overview!B6+0,"")</f>
        <v/>
      </c>
      <c r="C20" s="15" t="s">
        <v>61</v>
      </c>
      <c r="D20" s="11" t="s">
        <v>92</v>
      </c>
      <c r="E20" s="11" t="s">
        <v>93</v>
      </c>
      <c r="F20" s="11" t="s">
        <v>94</v>
      </c>
      <c r="G20" s="11" t="s">
        <v>37</v>
      </c>
      <c r="H20" s="11" t="s">
        <v>20</v>
      </c>
      <c r="I20" s="11"/>
      <c r="J20" s="11"/>
    </row>
    <row r="21" customFormat="false" ht="61.5" hidden="false" customHeight="true" outlineLevel="0" collapsed="false">
      <c r="A21" s="11" t="s">
        <v>32</v>
      </c>
      <c r="B21" s="12" t="str">
        <f aca="false">IF(ISNUMBER(Overview!B6),Overview!B6+0,"")</f>
        <v/>
      </c>
      <c r="C21" s="15" t="s">
        <v>61</v>
      </c>
      <c r="D21" s="11" t="s">
        <v>95</v>
      </c>
      <c r="E21" s="11" t="s">
        <v>96</v>
      </c>
      <c r="F21" s="11" t="s">
        <v>97</v>
      </c>
      <c r="G21" s="11" t="s">
        <v>37</v>
      </c>
      <c r="H21" s="11" t="s">
        <v>20</v>
      </c>
      <c r="I21" s="11"/>
      <c r="J21" s="11"/>
    </row>
    <row r="22" customFormat="false" ht="61.5" hidden="false" customHeight="true" outlineLevel="0" collapsed="false">
      <c r="A22" s="11" t="s">
        <v>32</v>
      </c>
      <c r="B22" s="12" t="str">
        <f aca="false">IF(ISNUMBER(Overview!B6),Overview!B6+0,"")</f>
        <v/>
      </c>
      <c r="C22" s="14" t="s">
        <v>54</v>
      </c>
      <c r="D22" s="11" t="s">
        <v>98</v>
      </c>
      <c r="E22" s="11" t="s">
        <v>99</v>
      </c>
      <c r="F22" s="11" t="s">
        <v>100</v>
      </c>
      <c r="G22" s="11" t="s">
        <v>37</v>
      </c>
      <c r="H22" s="11" t="s">
        <v>20</v>
      </c>
      <c r="I22" s="11"/>
      <c r="J22" s="11"/>
    </row>
    <row r="23" customFormat="false" ht="61.5" hidden="false" customHeight="true" outlineLevel="0" collapsed="false">
      <c r="A23" s="11" t="s">
        <v>32</v>
      </c>
      <c r="B23" s="12" t="str">
        <f aca="false">IF(ISNUMBER(Overview!B6),Overview!B6+0,"")</f>
        <v/>
      </c>
      <c r="C23" s="15" t="s">
        <v>61</v>
      </c>
      <c r="D23" s="11" t="s">
        <v>101</v>
      </c>
      <c r="E23" s="11" t="s">
        <v>102</v>
      </c>
      <c r="F23" s="11" t="s">
        <v>103</v>
      </c>
      <c r="G23" s="11" t="s">
        <v>37</v>
      </c>
      <c r="H23" s="11" t="s">
        <v>20</v>
      </c>
      <c r="I23" s="11"/>
      <c r="J23" s="11"/>
    </row>
    <row r="24" customFormat="false" ht="61.5" hidden="false" customHeight="true" outlineLevel="0" collapsed="false">
      <c r="A24" s="11" t="s">
        <v>32</v>
      </c>
      <c r="B24" s="12" t="str">
        <f aca="false">IF(ISNUMBER(Overview!B6),Overview!B6+0,"")</f>
        <v/>
      </c>
      <c r="C24" s="15" t="s">
        <v>61</v>
      </c>
      <c r="D24" s="11" t="s">
        <v>104</v>
      </c>
      <c r="E24" s="11" t="s">
        <v>105</v>
      </c>
      <c r="F24" s="11" t="s">
        <v>106</v>
      </c>
      <c r="G24" s="11" t="s">
        <v>37</v>
      </c>
      <c r="H24" s="11" t="s">
        <v>20</v>
      </c>
      <c r="I24" s="11"/>
      <c r="J24" s="11"/>
    </row>
    <row r="25" customFormat="false" ht="61.5" hidden="false" customHeight="true" outlineLevel="0" collapsed="false">
      <c r="A25" s="11" t="s">
        <v>32</v>
      </c>
      <c r="B25" s="12" t="str">
        <f aca="false">IF(ISNUMBER(Overview!B6),Overview!B6+0,"")</f>
        <v/>
      </c>
      <c r="C25" s="15" t="s">
        <v>61</v>
      </c>
      <c r="D25" s="11" t="s">
        <v>107</v>
      </c>
      <c r="E25" s="11" t="s">
        <v>108</v>
      </c>
      <c r="F25" s="11" t="s">
        <v>109</v>
      </c>
      <c r="G25" s="11" t="s">
        <v>37</v>
      </c>
      <c r="H25" s="11" t="s">
        <v>20</v>
      </c>
      <c r="I25" s="11"/>
      <c r="J25" s="11"/>
    </row>
    <row r="26" customFormat="false" ht="61.5" hidden="false" customHeight="true" outlineLevel="0" collapsed="false">
      <c r="A26" s="11" t="s">
        <v>32</v>
      </c>
      <c r="B26" s="12" t="str">
        <f aca="false">IF(ISNUMBER(Overview!B6),Overview!B6+0,"")</f>
        <v/>
      </c>
      <c r="C26" s="16" t="s">
        <v>110</v>
      </c>
      <c r="D26" s="11" t="s">
        <v>111</v>
      </c>
      <c r="E26" s="11" t="s">
        <v>112</v>
      </c>
      <c r="F26" s="11" t="s">
        <v>113</v>
      </c>
      <c r="G26" s="11" t="s">
        <v>37</v>
      </c>
      <c r="H26" s="11" t="s">
        <v>20</v>
      </c>
      <c r="I26" s="11"/>
      <c r="J26" s="11"/>
    </row>
    <row r="27" customFormat="false" ht="61.5" hidden="false" customHeight="true" outlineLevel="0" collapsed="false">
      <c r="A27" s="11" t="s">
        <v>32</v>
      </c>
      <c r="B27" s="12" t="str">
        <f aca="false">IF(ISNUMBER(Overview!B6),Overview!B6+0,"")</f>
        <v/>
      </c>
      <c r="C27" s="17" t="s">
        <v>114</v>
      </c>
      <c r="D27" s="11" t="s">
        <v>115</v>
      </c>
      <c r="E27" s="11" t="s">
        <v>116</v>
      </c>
      <c r="F27" s="11" t="s">
        <v>117</v>
      </c>
      <c r="G27" s="11" t="s">
        <v>37</v>
      </c>
      <c r="H27" s="11" t="s">
        <v>20</v>
      </c>
      <c r="I27" s="11"/>
      <c r="J27" s="11"/>
    </row>
    <row r="28" customFormat="false" ht="61.5" hidden="false" customHeight="true" outlineLevel="0" collapsed="false">
      <c r="A28" s="11" t="s">
        <v>32</v>
      </c>
      <c r="B28" s="12" t="str">
        <f aca="false">IF(ISNUMBER(Overview!B6),Overview!B6+0,"")</f>
        <v/>
      </c>
      <c r="C28" s="17" t="s">
        <v>114</v>
      </c>
      <c r="D28" s="11" t="s">
        <v>118</v>
      </c>
      <c r="E28" s="11" t="s">
        <v>119</v>
      </c>
      <c r="F28" s="11" t="s">
        <v>120</v>
      </c>
      <c r="G28" s="11" t="s">
        <v>37</v>
      </c>
      <c r="H28" s="11" t="s">
        <v>20</v>
      </c>
      <c r="I28" s="11"/>
      <c r="J28" s="11"/>
    </row>
    <row r="29" customFormat="false" ht="61.5" hidden="false" customHeight="true" outlineLevel="0" collapsed="false">
      <c r="A29" s="11" t="s">
        <v>32</v>
      </c>
      <c r="B29" s="12" t="str">
        <f aca="false">IF(ISNUMBER(Overview!B6),Overview!B6+0,"")</f>
        <v/>
      </c>
      <c r="C29" s="17" t="s">
        <v>114</v>
      </c>
      <c r="D29" s="11" t="s">
        <v>121</v>
      </c>
      <c r="E29" s="11" t="s">
        <v>122</v>
      </c>
      <c r="F29" s="11" t="s">
        <v>123</v>
      </c>
      <c r="G29" s="11" t="s">
        <v>37</v>
      </c>
      <c r="H29" s="11" t="s">
        <v>20</v>
      </c>
      <c r="I29" s="11"/>
      <c r="J29" s="11"/>
    </row>
    <row r="30" customFormat="false" ht="61.5" hidden="false" customHeight="true" outlineLevel="0" collapsed="false">
      <c r="A30" s="11" t="s">
        <v>124</v>
      </c>
      <c r="B30" s="12" t="str">
        <f aca="false">IF(ISNUMBER(Overview!B6),Overview!B6+7,"")</f>
        <v/>
      </c>
      <c r="C30" s="14" t="s">
        <v>54</v>
      </c>
      <c r="D30" s="11" t="s">
        <v>125</v>
      </c>
      <c r="E30" s="11" t="s">
        <v>126</v>
      </c>
      <c r="F30" s="11" t="s">
        <v>127</v>
      </c>
      <c r="G30" s="11" t="s">
        <v>37</v>
      </c>
      <c r="H30" s="11" t="s">
        <v>20</v>
      </c>
      <c r="I30" s="11"/>
      <c r="J30" s="11"/>
    </row>
    <row r="31" customFormat="false" ht="61.5" hidden="false" customHeight="true" outlineLevel="0" collapsed="false">
      <c r="A31" s="11" t="s">
        <v>124</v>
      </c>
      <c r="B31" s="12" t="str">
        <f aca="false">IF(ISNUMBER(Overview!B6),Overview!B6+7,"")</f>
        <v/>
      </c>
      <c r="C31" s="14" t="s">
        <v>54</v>
      </c>
      <c r="D31" s="11" t="s">
        <v>128</v>
      </c>
      <c r="E31" s="11" t="s">
        <v>129</v>
      </c>
      <c r="F31" s="11" t="s">
        <v>130</v>
      </c>
      <c r="G31" s="11" t="s">
        <v>37</v>
      </c>
      <c r="H31" s="11" t="s">
        <v>20</v>
      </c>
      <c r="I31" s="11"/>
      <c r="J31" s="11"/>
    </row>
    <row r="32" customFormat="false" ht="61.5" hidden="false" customHeight="true" outlineLevel="0" collapsed="false">
      <c r="A32" s="11" t="s">
        <v>124</v>
      </c>
      <c r="B32" s="12" t="str">
        <f aca="false">IF(ISNUMBER(Overview!B6),Overview!B6+7,"")</f>
        <v/>
      </c>
      <c r="C32" s="14" t="s">
        <v>54</v>
      </c>
      <c r="D32" s="11" t="s">
        <v>131</v>
      </c>
      <c r="E32" s="11" t="s">
        <v>132</v>
      </c>
      <c r="F32" s="11" t="s">
        <v>133</v>
      </c>
      <c r="G32" s="11" t="s">
        <v>37</v>
      </c>
      <c r="H32" s="11" t="s">
        <v>20</v>
      </c>
      <c r="I32" s="11"/>
      <c r="J32" s="11"/>
    </row>
    <row r="33" customFormat="false" ht="61.5" hidden="false" customHeight="true" outlineLevel="0" collapsed="false">
      <c r="A33" s="11" t="s">
        <v>124</v>
      </c>
      <c r="B33" s="12" t="str">
        <f aca="false">IF(ISNUMBER(Overview!B6),Overview!B6+7,"")</f>
        <v/>
      </c>
      <c r="C33" s="14" t="s">
        <v>54</v>
      </c>
      <c r="D33" s="11" t="s">
        <v>134</v>
      </c>
      <c r="E33" s="11" t="s">
        <v>135</v>
      </c>
      <c r="F33" s="11" t="s">
        <v>136</v>
      </c>
      <c r="G33" s="11" t="s">
        <v>37</v>
      </c>
      <c r="H33" s="11" t="s">
        <v>20</v>
      </c>
      <c r="I33" s="11"/>
      <c r="J33" s="11"/>
    </row>
    <row r="34" customFormat="false" ht="61.5" hidden="false" customHeight="true" outlineLevel="0" collapsed="false">
      <c r="A34" s="11" t="s">
        <v>124</v>
      </c>
      <c r="B34" s="12" t="str">
        <f aca="false">IF(ISNUMBER(Overview!B6),Overview!B6+7,"")</f>
        <v/>
      </c>
      <c r="C34" s="15" t="s">
        <v>61</v>
      </c>
      <c r="D34" s="11" t="s">
        <v>137</v>
      </c>
      <c r="E34" s="11" t="s">
        <v>138</v>
      </c>
      <c r="F34" s="11" t="s">
        <v>139</v>
      </c>
      <c r="G34" s="11" t="s">
        <v>37</v>
      </c>
      <c r="H34" s="11" t="s">
        <v>20</v>
      </c>
      <c r="I34" s="11"/>
      <c r="J34" s="11"/>
    </row>
    <row r="35" customFormat="false" ht="61.5" hidden="false" customHeight="true" outlineLevel="0" collapsed="false">
      <c r="A35" s="11" t="s">
        <v>124</v>
      </c>
      <c r="B35" s="12" t="str">
        <f aca="false">IF(ISNUMBER(Overview!B6),Overview!B6+7,"")</f>
        <v/>
      </c>
      <c r="C35" s="15" t="s">
        <v>61</v>
      </c>
      <c r="D35" s="11" t="s">
        <v>140</v>
      </c>
      <c r="E35" s="11" t="s">
        <v>141</v>
      </c>
      <c r="F35" s="11" t="s">
        <v>142</v>
      </c>
      <c r="G35" s="11" t="s">
        <v>37</v>
      </c>
      <c r="H35" s="11" t="s">
        <v>20</v>
      </c>
      <c r="I35" s="11"/>
      <c r="J35" s="11"/>
    </row>
    <row r="36" customFormat="false" ht="61.5" hidden="false" customHeight="true" outlineLevel="0" collapsed="false">
      <c r="A36" s="11" t="s">
        <v>124</v>
      </c>
      <c r="B36" s="12" t="str">
        <f aca="false">IF(ISNUMBER(Overview!B6),Overview!B6+7,"")</f>
        <v/>
      </c>
      <c r="C36" s="15" t="s">
        <v>61</v>
      </c>
      <c r="D36" s="11" t="s">
        <v>143</v>
      </c>
      <c r="E36" s="11" t="s">
        <v>144</v>
      </c>
      <c r="F36" s="11" t="s">
        <v>145</v>
      </c>
      <c r="G36" s="11" t="s">
        <v>37</v>
      </c>
      <c r="H36" s="11" t="s">
        <v>20</v>
      </c>
      <c r="I36" s="11"/>
      <c r="J36" s="11"/>
    </row>
    <row r="37" customFormat="false" ht="61.5" hidden="false" customHeight="true" outlineLevel="0" collapsed="false">
      <c r="A37" s="11" t="s">
        <v>124</v>
      </c>
      <c r="B37" s="12" t="str">
        <f aca="false">IF(ISNUMBER(Overview!B6),Overview!B6+7,"")</f>
        <v/>
      </c>
      <c r="C37" s="15" t="s">
        <v>61</v>
      </c>
      <c r="D37" s="11" t="s">
        <v>146</v>
      </c>
      <c r="E37" s="11" t="s">
        <v>147</v>
      </c>
      <c r="F37" s="11" t="s">
        <v>148</v>
      </c>
      <c r="G37" s="11" t="s">
        <v>37</v>
      </c>
      <c r="H37" s="11" t="s">
        <v>20</v>
      </c>
      <c r="I37" s="11"/>
      <c r="J37" s="11"/>
    </row>
    <row r="38" customFormat="false" ht="61.5" hidden="false" customHeight="true" outlineLevel="0" collapsed="false">
      <c r="A38" s="11" t="s">
        <v>124</v>
      </c>
      <c r="B38" s="12" t="str">
        <f aca="false">IF(ISNUMBER(Overview!B6),Overview!B6+7,"")</f>
        <v/>
      </c>
      <c r="C38" s="16" t="s">
        <v>110</v>
      </c>
      <c r="D38" s="11" t="s">
        <v>149</v>
      </c>
      <c r="E38" s="11" t="s">
        <v>150</v>
      </c>
      <c r="F38" s="11" t="s">
        <v>151</v>
      </c>
      <c r="G38" s="11" t="s">
        <v>37</v>
      </c>
      <c r="H38" s="11" t="s">
        <v>20</v>
      </c>
      <c r="I38" s="11"/>
      <c r="J38" s="11"/>
    </row>
    <row r="39" customFormat="false" ht="61.5" hidden="false" customHeight="true" outlineLevel="0" collapsed="false">
      <c r="A39" s="11" t="s">
        <v>124</v>
      </c>
      <c r="B39" s="12" t="str">
        <f aca="false">IF(ISNUMBER(Overview!B6),Overview!B6+7,"")</f>
        <v/>
      </c>
      <c r="C39" s="17" t="s">
        <v>114</v>
      </c>
      <c r="D39" s="11" t="s">
        <v>152</v>
      </c>
      <c r="E39" s="11" t="s">
        <v>153</v>
      </c>
      <c r="F39" s="11" t="s">
        <v>154</v>
      </c>
      <c r="G39" s="11" t="s">
        <v>37</v>
      </c>
      <c r="H39" s="11" t="s">
        <v>20</v>
      </c>
      <c r="I39" s="11"/>
      <c r="J39" s="11"/>
    </row>
    <row r="40" customFormat="false" ht="61.5" hidden="false" customHeight="true" outlineLevel="0" collapsed="false">
      <c r="A40" s="11" t="s">
        <v>124</v>
      </c>
      <c r="B40" s="12" t="str">
        <f aca="false">IF(ISNUMBER(Overview!B6),Overview!B6+7,"")</f>
        <v/>
      </c>
      <c r="C40" s="17" t="s">
        <v>114</v>
      </c>
      <c r="D40" s="11" t="s">
        <v>155</v>
      </c>
      <c r="E40" s="11" t="s">
        <v>156</v>
      </c>
      <c r="F40" s="11" t="s">
        <v>157</v>
      </c>
      <c r="G40" s="11" t="s">
        <v>37</v>
      </c>
      <c r="H40" s="11" t="s">
        <v>20</v>
      </c>
      <c r="I40" s="11"/>
      <c r="J40" s="11"/>
    </row>
    <row r="41" customFormat="false" ht="61.5" hidden="false" customHeight="true" outlineLevel="0" collapsed="false">
      <c r="A41" s="11" t="s">
        <v>158</v>
      </c>
      <c r="B41" s="12" t="str">
        <f aca="false">IF(ISNUMBER(Overview!B6),Overview!B6+14,"")</f>
        <v/>
      </c>
      <c r="C41" s="14" t="s">
        <v>54</v>
      </c>
      <c r="D41" s="11" t="s">
        <v>159</v>
      </c>
      <c r="E41" s="11" t="s">
        <v>160</v>
      </c>
      <c r="F41" s="11" t="s">
        <v>161</v>
      </c>
      <c r="G41" s="11" t="s">
        <v>37</v>
      </c>
      <c r="H41" s="11" t="s">
        <v>20</v>
      </c>
      <c r="I41" s="11"/>
      <c r="J41" s="11"/>
    </row>
    <row r="42" customFormat="false" ht="61.5" hidden="false" customHeight="true" outlineLevel="0" collapsed="false">
      <c r="A42" s="11" t="s">
        <v>158</v>
      </c>
      <c r="B42" s="12" t="str">
        <f aca="false">IF(ISNUMBER(Overview!B6),Overview!B6+14,"")</f>
        <v/>
      </c>
      <c r="C42" s="14" t="s">
        <v>54</v>
      </c>
      <c r="D42" s="11" t="s">
        <v>162</v>
      </c>
      <c r="E42" s="11" t="s">
        <v>163</v>
      </c>
      <c r="F42" s="11" t="s">
        <v>164</v>
      </c>
      <c r="G42" s="11" t="s">
        <v>37</v>
      </c>
      <c r="H42" s="11" t="s">
        <v>20</v>
      </c>
      <c r="I42" s="11"/>
      <c r="J42" s="11"/>
    </row>
    <row r="43" customFormat="false" ht="61.5" hidden="false" customHeight="true" outlineLevel="0" collapsed="false">
      <c r="A43" s="11" t="s">
        <v>158</v>
      </c>
      <c r="B43" s="12" t="str">
        <f aca="false">IF(ISNUMBER(Overview!B6),Overview!B6+14,"")</f>
        <v/>
      </c>
      <c r="C43" s="14" t="s">
        <v>54</v>
      </c>
      <c r="D43" s="11" t="s">
        <v>165</v>
      </c>
      <c r="E43" s="11" t="s">
        <v>166</v>
      </c>
      <c r="F43" s="11" t="s">
        <v>167</v>
      </c>
      <c r="G43" s="11" t="s">
        <v>37</v>
      </c>
      <c r="H43" s="11" t="s">
        <v>20</v>
      </c>
      <c r="I43" s="11"/>
      <c r="J43" s="11"/>
    </row>
    <row r="44" customFormat="false" ht="61.5" hidden="false" customHeight="true" outlineLevel="0" collapsed="false">
      <c r="A44" s="11" t="s">
        <v>158</v>
      </c>
      <c r="B44" s="12" t="str">
        <f aca="false">IF(ISNUMBER(Overview!B6),Overview!B6+14,"")</f>
        <v/>
      </c>
      <c r="C44" s="14" t="s">
        <v>54</v>
      </c>
      <c r="D44" s="11" t="s">
        <v>168</v>
      </c>
      <c r="E44" s="11" t="s">
        <v>169</v>
      </c>
      <c r="F44" s="11" t="s">
        <v>170</v>
      </c>
      <c r="G44" s="11" t="s">
        <v>37</v>
      </c>
      <c r="H44" s="11" t="s">
        <v>20</v>
      </c>
      <c r="I44" s="11"/>
      <c r="J44" s="11"/>
    </row>
    <row r="45" customFormat="false" ht="61.5" hidden="false" customHeight="true" outlineLevel="0" collapsed="false">
      <c r="A45" s="11" t="s">
        <v>158</v>
      </c>
      <c r="B45" s="12" t="str">
        <f aca="false">IF(ISNUMBER(Overview!B6),Overview!B6+14,"")</f>
        <v/>
      </c>
      <c r="C45" s="14" t="s">
        <v>54</v>
      </c>
      <c r="D45" s="11" t="s">
        <v>171</v>
      </c>
      <c r="E45" s="11" t="s">
        <v>172</v>
      </c>
      <c r="F45" s="11" t="s">
        <v>173</v>
      </c>
      <c r="G45" s="11" t="s">
        <v>37</v>
      </c>
      <c r="H45" s="11" t="s">
        <v>20</v>
      </c>
      <c r="I45" s="11"/>
      <c r="J45" s="11"/>
    </row>
    <row r="46" customFormat="false" ht="61.5" hidden="false" customHeight="true" outlineLevel="0" collapsed="false">
      <c r="A46" s="11" t="s">
        <v>158</v>
      </c>
      <c r="B46" s="12" t="str">
        <f aca="false">IF(ISNUMBER(Overview!B6),Overview!B6+14,"")</f>
        <v/>
      </c>
      <c r="C46" s="15" t="s">
        <v>61</v>
      </c>
      <c r="D46" s="11" t="s">
        <v>174</v>
      </c>
      <c r="E46" s="11" t="s">
        <v>175</v>
      </c>
      <c r="F46" s="11" t="s">
        <v>176</v>
      </c>
      <c r="G46" s="11" t="s">
        <v>37</v>
      </c>
      <c r="H46" s="11" t="s">
        <v>20</v>
      </c>
      <c r="I46" s="11"/>
      <c r="J46" s="11"/>
    </row>
    <row r="47" customFormat="false" ht="61.5" hidden="false" customHeight="true" outlineLevel="0" collapsed="false">
      <c r="A47" s="11" t="s">
        <v>158</v>
      </c>
      <c r="B47" s="12" t="str">
        <f aca="false">IF(ISNUMBER(Overview!B6),Overview!B6+14,"")</f>
        <v/>
      </c>
      <c r="C47" s="15" t="s">
        <v>61</v>
      </c>
      <c r="D47" s="11" t="s">
        <v>177</v>
      </c>
      <c r="E47" s="11" t="s">
        <v>178</v>
      </c>
      <c r="F47" s="11" t="s">
        <v>179</v>
      </c>
      <c r="G47" s="11" t="s">
        <v>37</v>
      </c>
      <c r="H47" s="11" t="s">
        <v>20</v>
      </c>
      <c r="I47" s="11"/>
      <c r="J47" s="11"/>
    </row>
    <row r="48" customFormat="false" ht="61.5" hidden="false" customHeight="true" outlineLevel="0" collapsed="false">
      <c r="A48" s="11" t="s">
        <v>158</v>
      </c>
      <c r="B48" s="12" t="str">
        <f aca="false">IF(ISNUMBER(Overview!B6),Overview!B6+14,"")</f>
        <v/>
      </c>
      <c r="C48" s="15" t="s">
        <v>61</v>
      </c>
      <c r="D48" s="11" t="s">
        <v>180</v>
      </c>
      <c r="E48" s="11" t="s">
        <v>181</v>
      </c>
      <c r="F48" s="11" t="s">
        <v>182</v>
      </c>
      <c r="G48" s="11" t="s">
        <v>37</v>
      </c>
      <c r="H48" s="11" t="s">
        <v>20</v>
      </c>
      <c r="I48" s="11"/>
      <c r="J48" s="11"/>
    </row>
    <row r="49" customFormat="false" ht="61.5" hidden="false" customHeight="true" outlineLevel="0" collapsed="false">
      <c r="A49" s="11" t="s">
        <v>158</v>
      </c>
      <c r="B49" s="12" t="str">
        <f aca="false">IF(ISNUMBER(Overview!B6),Overview!B6+14,"")</f>
        <v/>
      </c>
      <c r="C49" s="16" t="s">
        <v>110</v>
      </c>
      <c r="D49" s="11" t="s">
        <v>183</v>
      </c>
      <c r="E49" s="11" t="s">
        <v>184</v>
      </c>
      <c r="F49" s="11" t="s">
        <v>185</v>
      </c>
      <c r="G49" s="11" t="s">
        <v>37</v>
      </c>
      <c r="H49" s="11" t="s">
        <v>20</v>
      </c>
      <c r="I49" s="11"/>
      <c r="J49" s="11"/>
    </row>
    <row r="50" customFormat="false" ht="61.5" hidden="false" customHeight="true" outlineLevel="0" collapsed="false">
      <c r="A50" s="11" t="s">
        <v>158</v>
      </c>
      <c r="B50" s="12" t="str">
        <f aca="false">IF(ISNUMBER(Overview!B6),Overview!B6+14,"")</f>
        <v/>
      </c>
      <c r="C50" s="17" t="s">
        <v>114</v>
      </c>
      <c r="D50" s="11" t="s">
        <v>186</v>
      </c>
      <c r="E50" s="11" t="s">
        <v>187</v>
      </c>
      <c r="F50" s="11" t="s">
        <v>188</v>
      </c>
      <c r="G50" s="11" t="s">
        <v>37</v>
      </c>
      <c r="H50" s="11" t="s">
        <v>20</v>
      </c>
      <c r="I50" s="11"/>
      <c r="J50" s="11"/>
    </row>
    <row r="51" customFormat="false" ht="61.5" hidden="false" customHeight="true" outlineLevel="0" collapsed="false">
      <c r="A51" s="11" t="s">
        <v>158</v>
      </c>
      <c r="B51" s="12" t="str">
        <f aca="false">IF(ISNUMBER(Overview!B6),Overview!B6+14,"")</f>
        <v/>
      </c>
      <c r="C51" s="17" t="s">
        <v>114</v>
      </c>
      <c r="D51" s="11" t="s">
        <v>189</v>
      </c>
      <c r="E51" s="11" t="s">
        <v>190</v>
      </c>
      <c r="F51" s="11" t="s">
        <v>191</v>
      </c>
      <c r="G51" s="11" t="s">
        <v>37</v>
      </c>
      <c r="H51" s="11" t="s">
        <v>20</v>
      </c>
      <c r="I51" s="11"/>
      <c r="J51" s="11"/>
    </row>
    <row r="52" customFormat="false" ht="61.5" hidden="false" customHeight="true" outlineLevel="0" collapsed="false">
      <c r="A52" s="11" t="s">
        <v>192</v>
      </c>
      <c r="B52" s="12" t="str">
        <f aca="false">IF(ISNUMBER(Overview!B6),Overview!B6+21,"")</f>
        <v/>
      </c>
      <c r="C52" s="14" t="s">
        <v>54</v>
      </c>
      <c r="D52" s="11" t="s">
        <v>193</v>
      </c>
      <c r="E52" s="11" t="s">
        <v>194</v>
      </c>
      <c r="F52" s="11" t="s">
        <v>195</v>
      </c>
      <c r="G52" s="11" t="s">
        <v>37</v>
      </c>
      <c r="H52" s="11" t="s">
        <v>20</v>
      </c>
      <c r="I52" s="11"/>
      <c r="J52" s="11"/>
    </row>
    <row r="53" customFormat="false" ht="61.5" hidden="false" customHeight="true" outlineLevel="0" collapsed="false">
      <c r="A53" s="11" t="s">
        <v>192</v>
      </c>
      <c r="B53" s="12" t="str">
        <f aca="false">IF(ISNUMBER(Overview!B6),Overview!B6+21,"")</f>
        <v/>
      </c>
      <c r="C53" s="14" t="s">
        <v>54</v>
      </c>
      <c r="D53" s="11" t="s">
        <v>196</v>
      </c>
      <c r="E53" s="11" t="s">
        <v>197</v>
      </c>
      <c r="F53" s="11" t="s">
        <v>198</v>
      </c>
      <c r="G53" s="11" t="s">
        <v>37</v>
      </c>
      <c r="H53" s="11" t="s">
        <v>20</v>
      </c>
      <c r="I53" s="11"/>
      <c r="J53" s="11"/>
    </row>
    <row r="54" customFormat="false" ht="61.5" hidden="false" customHeight="true" outlineLevel="0" collapsed="false">
      <c r="A54" s="11" t="s">
        <v>192</v>
      </c>
      <c r="B54" s="12" t="str">
        <f aca="false">IF(ISNUMBER(Overview!B6),Overview!B6+21,"")</f>
        <v/>
      </c>
      <c r="C54" s="14" t="s">
        <v>54</v>
      </c>
      <c r="D54" s="11" t="s">
        <v>199</v>
      </c>
      <c r="E54" s="11" t="s">
        <v>200</v>
      </c>
      <c r="F54" s="11" t="s">
        <v>201</v>
      </c>
      <c r="G54" s="11" t="s">
        <v>37</v>
      </c>
      <c r="H54" s="11" t="s">
        <v>20</v>
      </c>
      <c r="I54" s="11"/>
      <c r="J54" s="11"/>
    </row>
    <row r="55" customFormat="false" ht="61.5" hidden="false" customHeight="true" outlineLevel="0" collapsed="false">
      <c r="A55" s="11" t="s">
        <v>192</v>
      </c>
      <c r="B55" s="12" t="str">
        <f aca="false">IF(ISNUMBER(Overview!B6),Overview!B6+21,"")</f>
        <v/>
      </c>
      <c r="C55" s="15" t="s">
        <v>61</v>
      </c>
      <c r="D55" s="11" t="s">
        <v>202</v>
      </c>
      <c r="E55" s="11" t="s">
        <v>203</v>
      </c>
      <c r="F55" s="11" t="s">
        <v>204</v>
      </c>
      <c r="G55" s="11" t="s">
        <v>37</v>
      </c>
      <c r="H55" s="11" t="s">
        <v>20</v>
      </c>
      <c r="I55" s="11"/>
      <c r="J55" s="11"/>
    </row>
    <row r="56" customFormat="false" ht="61.5" hidden="false" customHeight="true" outlineLevel="0" collapsed="false">
      <c r="A56" s="11" t="s">
        <v>192</v>
      </c>
      <c r="B56" s="12" t="str">
        <f aca="false">IF(ISNUMBER(Overview!B6),Overview!B6+21,"")</f>
        <v/>
      </c>
      <c r="C56" s="15" t="s">
        <v>61</v>
      </c>
      <c r="D56" s="11" t="s">
        <v>205</v>
      </c>
      <c r="E56" s="11" t="s">
        <v>206</v>
      </c>
      <c r="F56" s="11" t="s">
        <v>207</v>
      </c>
      <c r="G56" s="11" t="s">
        <v>37</v>
      </c>
      <c r="H56" s="11" t="s">
        <v>20</v>
      </c>
      <c r="I56" s="11"/>
      <c r="J56" s="11"/>
    </row>
    <row r="57" customFormat="false" ht="61.5" hidden="false" customHeight="true" outlineLevel="0" collapsed="false">
      <c r="A57" s="11" t="s">
        <v>192</v>
      </c>
      <c r="B57" s="12" t="str">
        <f aca="false">IF(ISNUMBER(Overview!B6),Overview!B6+21,"")</f>
        <v/>
      </c>
      <c r="C57" s="15" t="s">
        <v>208</v>
      </c>
      <c r="D57" s="11" t="s">
        <v>209</v>
      </c>
      <c r="E57" s="11" t="s">
        <v>210</v>
      </c>
      <c r="F57" s="11" t="s">
        <v>211</v>
      </c>
      <c r="G57" s="11" t="s">
        <v>37</v>
      </c>
      <c r="H57" s="11" t="s">
        <v>20</v>
      </c>
      <c r="I57" s="11"/>
      <c r="J57" s="11"/>
    </row>
    <row r="58" customFormat="false" ht="61.5" hidden="false" customHeight="true" outlineLevel="0" collapsed="false">
      <c r="A58" s="11" t="s">
        <v>192</v>
      </c>
      <c r="B58" s="12" t="str">
        <f aca="false">IF(ISNUMBER(Overview!B6),Overview!B6+21,"")</f>
        <v/>
      </c>
      <c r="C58" s="16" t="s">
        <v>110</v>
      </c>
      <c r="D58" s="11" t="s">
        <v>212</v>
      </c>
      <c r="E58" s="11" t="s">
        <v>213</v>
      </c>
      <c r="F58" s="11" t="s">
        <v>214</v>
      </c>
      <c r="G58" s="11" t="s">
        <v>37</v>
      </c>
      <c r="H58" s="11" t="s">
        <v>20</v>
      </c>
      <c r="I58" s="11"/>
      <c r="J58" s="11"/>
    </row>
    <row r="59" customFormat="false" ht="61.5" hidden="false" customHeight="true" outlineLevel="0" collapsed="false">
      <c r="A59" s="11" t="s">
        <v>192</v>
      </c>
      <c r="B59" s="12" t="str">
        <f aca="false">IF(ISNUMBER(Overview!B6),Overview!B6+21,"")</f>
        <v/>
      </c>
      <c r="C59" s="17" t="s">
        <v>114</v>
      </c>
      <c r="D59" s="11" t="s">
        <v>215</v>
      </c>
      <c r="E59" s="11" t="s">
        <v>216</v>
      </c>
      <c r="F59" s="11" t="s">
        <v>217</v>
      </c>
      <c r="G59" s="11" t="s">
        <v>37</v>
      </c>
      <c r="H59" s="11" t="s">
        <v>20</v>
      </c>
      <c r="I59" s="11"/>
      <c r="J59" s="11"/>
    </row>
    <row r="60" customFormat="false" ht="61.5" hidden="false" customHeight="true" outlineLevel="0" collapsed="false">
      <c r="A60" s="11" t="s">
        <v>192</v>
      </c>
      <c r="B60" s="12" t="str">
        <f aca="false">IF(ISNUMBER(Overview!B6),Overview!B6+21,"")</f>
        <v/>
      </c>
      <c r="C60" s="17" t="s">
        <v>114</v>
      </c>
      <c r="D60" s="11" t="s">
        <v>218</v>
      </c>
      <c r="E60" s="11" t="s">
        <v>219</v>
      </c>
      <c r="F60" s="11" t="s">
        <v>220</v>
      </c>
      <c r="G60" s="11" t="s">
        <v>37</v>
      </c>
      <c r="H60" s="11" t="s">
        <v>20</v>
      </c>
      <c r="I60" s="11"/>
      <c r="J60" s="11"/>
    </row>
    <row r="61" customFormat="false" ht="61.5" hidden="false" customHeight="true" outlineLevel="0" collapsed="false">
      <c r="A61" s="11" t="s">
        <v>221</v>
      </c>
      <c r="B61" s="12" t="str">
        <f aca="false">IF(ISNUMBER(Overview!B6),Overview!B6+28,"")</f>
        <v/>
      </c>
      <c r="C61" s="14" t="s">
        <v>54</v>
      </c>
      <c r="D61" s="11" t="s">
        <v>222</v>
      </c>
      <c r="E61" s="11" t="s">
        <v>223</v>
      </c>
      <c r="F61" s="11" t="s">
        <v>224</v>
      </c>
      <c r="G61" s="11" t="s">
        <v>37</v>
      </c>
      <c r="H61" s="11" t="s">
        <v>20</v>
      </c>
      <c r="I61" s="11"/>
      <c r="J61" s="11"/>
    </row>
    <row r="62" customFormat="false" ht="61.5" hidden="false" customHeight="true" outlineLevel="0" collapsed="false">
      <c r="A62" s="11" t="s">
        <v>221</v>
      </c>
      <c r="B62" s="12" t="str">
        <f aca="false">IF(ISNUMBER(Overview!B6),Overview!B6+28,"")</f>
        <v/>
      </c>
      <c r="C62" s="14" t="s">
        <v>54</v>
      </c>
      <c r="D62" s="11" t="s">
        <v>225</v>
      </c>
      <c r="E62" s="11" t="s">
        <v>226</v>
      </c>
      <c r="F62" s="11" t="s">
        <v>227</v>
      </c>
      <c r="G62" s="11" t="s">
        <v>37</v>
      </c>
      <c r="H62" s="11" t="s">
        <v>20</v>
      </c>
      <c r="I62" s="11"/>
      <c r="J62" s="11"/>
    </row>
    <row r="63" customFormat="false" ht="61.5" hidden="false" customHeight="true" outlineLevel="0" collapsed="false">
      <c r="A63" s="11" t="s">
        <v>221</v>
      </c>
      <c r="B63" s="12" t="str">
        <f aca="false">IF(ISNUMBER(Overview!B6),Overview!B6+28,"")</f>
        <v/>
      </c>
      <c r="C63" s="14" t="s">
        <v>54</v>
      </c>
      <c r="D63" s="11" t="s">
        <v>228</v>
      </c>
      <c r="E63" s="11" t="s">
        <v>229</v>
      </c>
      <c r="F63" s="11" t="s">
        <v>230</v>
      </c>
      <c r="G63" s="11" t="s">
        <v>37</v>
      </c>
      <c r="H63" s="11" t="s">
        <v>20</v>
      </c>
      <c r="I63" s="11"/>
      <c r="J63" s="11"/>
    </row>
    <row r="64" customFormat="false" ht="61.5" hidden="false" customHeight="true" outlineLevel="0" collapsed="false">
      <c r="A64" s="11" t="s">
        <v>221</v>
      </c>
      <c r="B64" s="12" t="str">
        <f aca="false">IF(ISNUMBER(Overview!B6),Overview!B6+28,"")</f>
        <v/>
      </c>
      <c r="C64" s="14" t="s">
        <v>54</v>
      </c>
      <c r="D64" s="11" t="s">
        <v>231</v>
      </c>
      <c r="E64" s="11" t="s">
        <v>232</v>
      </c>
      <c r="F64" s="11" t="s">
        <v>233</v>
      </c>
      <c r="G64" s="11" t="s">
        <v>37</v>
      </c>
      <c r="H64" s="11" t="s">
        <v>20</v>
      </c>
      <c r="I64" s="11"/>
      <c r="J64" s="11"/>
    </row>
    <row r="65" customFormat="false" ht="61.5" hidden="false" customHeight="true" outlineLevel="0" collapsed="false">
      <c r="A65" s="11" t="s">
        <v>221</v>
      </c>
      <c r="B65" s="12" t="str">
        <f aca="false">IF(ISNUMBER(Overview!B6),Overview!B6+28,"")</f>
        <v/>
      </c>
      <c r="C65" s="15" t="s">
        <v>61</v>
      </c>
      <c r="D65" s="11" t="s">
        <v>234</v>
      </c>
      <c r="E65" s="11" t="s">
        <v>235</v>
      </c>
      <c r="F65" s="11" t="s">
        <v>236</v>
      </c>
      <c r="G65" s="11" t="s">
        <v>37</v>
      </c>
      <c r="H65" s="11" t="s">
        <v>20</v>
      </c>
      <c r="I65" s="11"/>
      <c r="J65" s="11"/>
    </row>
    <row r="66" customFormat="false" ht="61.5" hidden="false" customHeight="true" outlineLevel="0" collapsed="false">
      <c r="A66" s="11" t="s">
        <v>221</v>
      </c>
      <c r="B66" s="12" t="str">
        <f aca="false">IF(ISNUMBER(Overview!B6),Overview!B6+28,"")</f>
        <v/>
      </c>
      <c r="C66" s="15" t="s">
        <v>61</v>
      </c>
      <c r="D66" s="11" t="s">
        <v>237</v>
      </c>
      <c r="E66" s="11" t="s">
        <v>238</v>
      </c>
      <c r="F66" s="11" t="s">
        <v>239</v>
      </c>
      <c r="G66" s="11" t="s">
        <v>37</v>
      </c>
      <c r="H66" s="11" t="s">
        <v>20</v>
      </c>
      <c r="I66" s="11"/>
      <c r="J66" s="11"/>
    </row>
    <row r="67" customFormat="false" ht="61.5" hidden="false" customHeight="true" outlineLevel="0" collapsed="false">
      <c r="A67" s="11" t="s">
        <v>221</v>
      </c>
      <c r="B67" s="12" t="str">
        <f aca="false">IF(ISNUMBER(Overview!B6),Overview!B6+28,"")</f>
        <v/>
      </c>
      <c r="C67" s="15" t="s">
        <v>61</v>
      </c>
      <c r="D67" s="11" t="s">
        <v>240</v>
      </c>
      <c r="E67" s="11" t="s">
        <v>241</v>
      </c>
      <c r="F67" s="11" t="s">
        <v>242</v>
      </c>
      <c r="G67" s="11" t="s">
        <v>37</v>
      </c>
      <c r="H67" s="11" t="s">
        <v>20</v>
      </c>
      <c r="I67" s="11"/>
      <c r="J67" s="11"/>
    </row>
    <row r="68" customFormat="false" ht="61.5" hidden="false" customHeight="true" outlineLevel="0" collapsed="false">
      <c r="A68" s="11" t="s">
        <v>221</v>
      </c>
      <c r="B68" s="12" t="str">
        <f aca="false">IF(ISNUMBER(Overview!B6),Overview!B6+28,"")</f>
        <v/>
      </c>
      <c r="C68" s="15" t="s">
        <v>208</v>
      </c>
      <c r="D68" s="11" t="s">
        <v>243</v>
      </c>
      <c r="E68" s="11" t="s">
        <v>244</v>
      </c>
      <c r="F68" s="11" t="s">
        <v>245</v>
      </c>
      <c r="G68" s="11" t="s">
        <v>37</v>
      </c>
      <c r="H68" s="11" t="s">
        <v>20</v>
      </c>
      <c r="I68" s="11"/>
      <c r="J68" s="11"/>
    </row>
    <row r="69" customFormat="false" ht="61.5" hidden="false" customHeight="true" outlineLevel="0" collapsed="false">
      <c r="A69" s="11" t="s">
        <v>221</v>
      </c>
      <c r="B69" s="12" t="str">
        <f aca="false">IF(ISNUMBER(Overview!B6),Overview!B6+28,"")</f>
        <v/>
      </c>
      <c r="C69" s="16" t="s">
        <v>110</v>
      </c>
      <c r="D69" s="11" t="s">
        <v>246</v>
      </c>
      <c r="E69" s="11" t="s">
        <v>247</v>
      </c>
      <c r="F69" s="11" t="s">
        <v>248</v>
      </c>
      <c r="G69" s="11" t="s">
        <v>37</v>
      </c>
      <c r="H69" s="11" t="s">
        <v>20</v>
      </c>
      <c r="I69" s="11"/>
      <c r="J69" s="11"/>
    </row>
    <row r="70" customFormat="false" ht="61.5" hidden="false" customHeight="true" outlineLevel="0" collapsed="false">
      <c r="A70" s="11" t="s">
        <v>221</v>
      </c>
      <c r="B70" s="12" t="str">
        <f aca="false">IF(ISNUMBER(Overview!B6),Overview!B6+28,"")</f>
        <v/>
      </c>
      <c r="C70" s="17" t="s">
        <v>114</v>
      </c>
      <c r="D70" s="11" t="s">
        <v>249</v>
      </c>
      <c r="E70" s="11" t="s">
        <v>250</v>
      </c>
      <c r="F70" s="11" t="s">
        <v>251</v>
      </c>
      <c r="G70" s="11" t="s">
        <v>37</v>
      </c>
      <c r="H70" s="11" t="s">
        <v>20</v>
      </c>
      <c r="I70" s="11"/>
      <c r="J70" s="11"/>
    </row>
    <row r="71" customFormat="false" ht="61.5" hidden="false" customHeight="true" outlineLevel="0" collapsed="false">
      <c r="A71" s="11" t="s">
        <v>221</v>
      </c>
      <c r="B71" s="12" t="str">
        <f aca="false">IF(ISNUMBER(Overview!B6),Overview!B6+28,"")</f>
        <v/>
      </c>
      <c r="C71" s="17" t="s">
        <v>114</v>
      </c>
      <c r="D71" s="11" t="s">
        <v>252</v>
      </c>
      <c r="E71" s="11" t="s">
        <v>253</v>
      </c>
      <c r="F71" s="11" t="s">
        <v>254</v>
      </c>
      <c r="G71" s="11" t="s">
        <v>37</v>
      </c>
      <c r="H71" s="11" t="s">
        <v>20</v>
      </c>
      <c r="I71" s="11"/>
      <c r="J71" s="11"/>
    </row>
    <row r="72" customFormat="false" ht="61.5" hidden="false" customHeight="true" outlineLevel="0" collapsed="false">
      <c r="A72" s="11" t="s">
        <v>255</v>
      </c>
      <c r="B72" s="12" t="str">
        <f aca="false">IF(ISNUMBER(Overview!B6),Overview!B6+35,"")</f>
        <v/>
      </c>
      <c r="C72" s="14" t="s">
        <v>54</v>
      </c>
      <c r="D72" s="11" t="s">
        <v>256</v>
      </c>
      <c r="E72" s="11" t="s">
        <v>257</v>
      </c>
      <c r="F72" s="11" t="s">
        <v>258</v>
      </c>
      <c r="G72" s="11" t="s">
        <v>37</v>
      </c>
      <c r="H72" s="11" t="s">
        <v>20</v>
      </c>
      <c r="I72" s="11"/>
      <c r="J72" s="11"/>
    </row>
    <row r="73" customFormat="false" ht="61.5" hidden="false" customHeight="true" outlineLevel="0" collapsed="false">
      <c r="A73" s="11" t="s">
        <v>255</v>
      </c>
      <c r="B73" s="12" t="str">
        <f aca="false">IF(ISNUMBER(Overview!B6),Overview!B6+35,"")</f>
        <v/>
      </c>
      <c r="C73" s="14" t="s">
        <v>54</v>
      </c>
      <c r="D73" s="11" t="s">
        <v>259</v>
      </c>
      <c r="E73" s="11" t="s">
        <v>260</v>
      </c>
      <c r="F73" s="11" t="s">
        <v>261</v>
      </c>
      <c r="G73" s="11" t="s">
        <v>37</v>
      </c>
      <c r="H73" s="11" t="s">
        <v>20</v>
      </c>
      <c r="I73" s="11"/>
      <c r="J73" s="11"/>
    </row>
    <row r="74" customFormat="false" ht="61.5" hidden="false" customHeight="true" outlineLevel="0" collapsed="false">
      <c r="A74" s="11" t="s">
        <v>255</v>
      </c>
      <c r="B74" s="12" t="str">
        <f aca="false">IF(ISNUMBER(Overview!B6),Overview!B6+35,"")</f>
        <v/>
      </c>
      <c r="C74" s="14" t="s">
        <v>54</v>
      </c>
      <c r="D74" s="11" t="s">
        <v>262</v>
      </c>
      <c r="E74" s="11" t="s">
        <v>263</v>
      </c>
      <c r="F74" s="11" t="s">
        <v>264</v>
      </c>
      <c r="G74" s="11" t="s">
        <v>37</v>
      </c>
      <c r="H74" s="11" t="s">
        <v>20</v>
      </c>
      <c r="I74" s="11"/>
      <c r="J74" s="11"/>
    </row>
    <row r="75" customFormat="false" ht="61.5" hidden="false" customHeight="true" outlineLevel="0" collapsed="false">
      <c r="A75" s="11" t="s">
        <v>255</v>
      </c>
      <c r="B75" s="12" t="str">
        <f aca="false">IF(ISNUMBER(Overview!B6),Overview!B6+35,"")</f>
        <v/>
      </c>
      <c r="C75" s="14" t="s">
        <v>54</v>
      </c>
      <c r="D75" s="11" t="s">
        <v>265</v>
      </c>
      <c r="E75" s="11" t="s">
        <v>266</v>
      </c>
      <c r="F75" s="11" t="s">
        <v>267</v>
      </c>
      <c r="G75" s="11" t="s">
        <v>37</v>
      </c>
      <c r="H75" s="11" t="s">
        <v>20</v>
      </c>
      <c r="I75" s="11"/>
      <c r="J75" s="11"/>
    </row>
    <row r="76" customFormat="false" ht="61.5" hidden="false" customHeight="true" outlineLevel="0" collapsed="false">
      <c r="A76" s="11" t="s">
        <v>255</v>
      </c>
      <c r="B76" s="12" t="str">
        <f aca="false">IF(ISNUMBER(Overview!B6),Overview!B6+35,"")</f>
        <v/>
      </c>
      <c r="C76" s="15" t="s">
        <v>61</v>
      </c>
      <c r="D76" s="11" t="s">
        <v>268</v>
      </c>
      <c r="E76" s="11" t="s">
        <v>269</v>
      </c>
      <c r="F76" s="11" t="s">
        <v>270</v>
      </c>
      <c r="G76" s="11" t="s">
        <v>37</v>
      </c>
      <c r="H76" s="11" t="s">
        <v>20</v>
      </c>
      <c r="I76" s="11"/>
      <c r="J76" s="11"/>
    </row>
    <row r="77" customFormat="false" ht="61.5" hidden="false" customHeight="true" outlineLevel="0" collapsed="false">
      <c r="A77" s="11" t="s">
        <v>255</v>
      </c>
      <c r="B77" s="12" t="str">
        <f aca="false">IF(ISNUMBER(Overview!B6),Overview!B6+35,"")</f>
        <v/>
      </c>
      <c r="C77" s="15" t="s">
        <v>61</v>
      </c>
      <c r="D77" s="11" t="s">
        <v>237</v>
      </c>
      <c r="E77" s="11" t="s">
        <v>271</v>
      </c>
      <c r="F77" s="11" t="s">
        <v>272</v>
      </c>
      <c r="G77" s="11" t="s">
        <v>37</v>
      </c>
      <c r="H77" s="11" t="s">
        <v>20</v>
      </c>
      <c r="I77" s="11"/>
      <c r="J77" s="11"/>
    </row>
    <row r="78" customFormat="false" ht="61.5" hidden="false" customHeight="true" outlineLevel="0" collapsed="false">
      <c r="A78" s="11" t="s">
        <v>255</v>
      </c>
      <c r="B78" s="12" t="str">
        <f aca="false">IF(ISNUMBER(Overview!B6),Overview!B6+35,"")</f>
        <v/>
      </c>
      <c r="C78" s="15" t="s">
        <v>61</v>
      </c>
      <c r="D78" s="11" t="s">
        <v>273</v>
      </c>
      <c r="E78" s="11" t="s">
        <v>274</v>
      </c>
      <c r="F78" s="11" t="s">
        <v>275</v>
      </c>
      <c r="G78" s="11" t="s">
        <v>37</v>
      </c>
      <c r="H78" s="11" t="s">
        <v>20</v>
      </c>
      <c r="I78" s="11"/>
      <c r="J78" s="11"/>
    </row>
    <row r="79" customFormat="false" ht="61.5" hidden="false" customHeight="true" outlineLevel="0" collapsed="false">
      <c r="A79" s="11" t="s">
        <v>255</v>
      </c>
      <c r="B79" s="12" t="str">
        <f aca="false">IF(ISNUMBER(Overview!B6),Overview!B6+35,"")</f>
        <v/>
      </c>
      <c r="C79" s="15" t="s">
        <v>208</v>
      </c>
      <c r="D79" s="11" t="s">
        <v>276</v>
      </c>
      <c r="E79" s="11" t="s">
        <v>277</v>
      </c>
      <c r="F79" s="11" t="s">
        <v>278</v>
      </c>
      <c r="G79" s="11" t="s">
        <v>37</v>
      </c>
      <c r="H79" s="11" t="s">
        <v>20</v>
      </c>
      <c r="I79" s="11"/>
      <c r="J79" s="11"/>
    </row>
    <row r="80" customFormat="false" ht="61.5" hidden="false" customHeight="true" outlineLevel="0" collapsed="false">
      <c r="A80" s="11" t="s">
        <v>255</v>
      </c>
      <c r="B80" s="12" t="str">
        <f aca="false">IF(ISNUMBER(Overview!B6),Overview!B6+35,"")</f>
        <v/>
      </c>
      <c r="C80" s="16" t="s">
        <v>110</v>
      </c>
      <c r="D80" s="11" t="s">
        <v>279</v>
      </c>
      <c r="E80" s="11" t="s">
        <v>280</v>
      </c>
      <c r="F80" s="11" t="s">
        <v>281</v>
      </c>
      <c r="G80" s="11" t="s">
        <v>37</v>
      </c>
      <c r="H80" s="11" t="s">
        <v>20</v>
      </c>
      <c r="I80" s="11"/>
      <c r="J80" s="11"/>
    </row>
    <row r="81" customFormat="false" ht="61.5" hidden="false" customHeight="true" outlineLevel="0" collapsed="false">
      <c r="A81" s="11" t="s">
        <v>255</v>
      </c>
      <c r="B81" s="12" t="str">
        <f aca="false">IF(ISNUMBER(Overview!B6),Overview!B6+35,"")</f>
        <v/>
      </c>
      <c r="C81" s="17" t="s">
        <v>114</v>
      </c>
      <c r="D81" s="11" t="s">
        <v>282</v>
      </c>
      <c r="E81" s="11" t="s">
        <v>283</v>
      </c>
      <c r="F81" s="11" t="s">
        <v>284</v>
      </c>
      <c r="G81" s="11" t="s">
        <v>37</v>
      </c>
      <c r="H81" s="11" t="s">
        <v>20</v>
      </c>
      <c r="I81" s="11"/>
      <c r="J81" s="11"/>
    </row>
    <row r="82" customFormat="false" ht="61.5" hidden="false" customHeight="true" outlineLevel="0" collapsed="false">
      <c r="A82" s="11" t="s">
        <v>285</v>
      </c>
      <c r="B82" s="12" t="str">
        <f aca="false">IF(ISNUMBER(Overview!B6),Overview!B6+42,"")</f>
        <v/>
      </c>
      <c r="C82" s="14" t="s">
        <v>54</v>
      </c>
      <c r="D82" s="11" t="s">
        <v>286</v>
      </c>
      <c r="E82" s="11" t="s">
        <v>287</v>
      </c>
      <c r="F82" s="11" t="s">
        <v>288</v>
      </c>
      <c r="G82" s="11" t="s">
        <v>37</v>
      </c>
      <c r="H82" s="11" t="s">
        <v>20</v>
      </c>
      <c r="I82" s="11"/>
      <c r="J82" s="11"/>
    </row>
    <row r="83" customFormat="false" ht="61.5" hidden="false" customHeight="true" outlineLevel="0" collapsed="false">
      <c r="A83" s="11" t="s">
        <v>285</v>
      </c>
      <c r="B83" s="12" t="str">
        <f aca="false">IF(ISNUMBER(Overview!B6),Overview!B6+42,"")</f>
        <v/>
      </c>
      <c r="C83" s="14" t="s">
        <v>54</v>
      </c>
      <c r="D83" s="11" t="s">
        <v>289</v>
      </c>
      <c r="E83" s="11" t="s">
        <v>290</v>
      </c>
      <c r="F83" s="11" t="s">
        <v>291</v>
      </c>
      <c r="G83" s="11" t="s">
        <v>37</v>
      </c>
      <c r="H83" s="11" t="s">
        <v>20</v>
      </c>
      <c r="I83" s="11"/>
      <c r="J83" s="11"/>
    </row>
    <row r="84" customFormat="false" ht="61.5" hidden="false" customHeight="true" outlineLevel="0" collapsed="false">
      <c r="A84" s="11" t="s">
        <v>285</v>
      </c>
      <c r="B84" s="12" t="str">
        <f aca="false">IF(ISNUMBER(Overview!B6),Overview!B6+42,"")</f>
        <v/>
      </c>
      <c r="C84" s="15" t="s">
        <v>61</v>
      </c>
      <c r="D84" s="11" t="s">
        <v>292</v>
      </c>
      <c r="E84" s="11" t="s">
        <v>293</v>
      </c>
      <c r="F84" s="11" t="s">
        <v>294</v>
      </c>
      <c r="G84" s="11" t="s">
        <v>37</v>
      </c>
      <c r="H84" s="11" t="s">
        <v>20</v>
      </c>
      <c r="I84" s="11"/>
      <c r="J84" s="11"/>
    </row>
    <row r="85" customFormat="false" ht="61.5" hidden="false" customHeight="true" outlineLevel="0" collapsed="false">
      <c r="A85" s="11" t="s">
        <v>285</v>
      </c>
      <c r="B85" s="12" t="str">
        <f aca="false">IF(ISNUMBER(Overview!B6),Overview!B6+42,"")</f>
        <v/>
      </c>
      <c r="C85" s="15" t="s">
        <v>61</v>
      </c>
      <c r="D85" s="11" t="s">
        <v>295</v>
      </c>
      <c r="E85" s="11" t="s">
        <v>296</v>
      </c>
      <c r="F85" s="11" t="s">
        <v>297</v>
      </c>
      <c r="G85" s="11" t="s">
        <v>37</v>
      </c>
      <c r="H85" s="11" t="s">
        <v>20</v>
      </c>
      <c r="I85" s="11"/>
      <c r="J85" s="11"/>
    </row>
    <row r="86" customFormat="false" ht="61.5" hidden="false" customHeight="true" outlineLevel="0" collapsed="false">
      <c r="A86" s="11" t="s">
        <v>285</v>
      </c>
      <c r="B86" s="12" t="str">
        <f aca="false">IF(ISNUMBER(Overview!B6),Overview!B6+42,"")</f>
        <v/>
      </c>
      <c r="C86" s="15" t="s">
        <v>61</v>
      </c>
      <c r="D86" s="11" t="s">
        <v>298</v>
      </c>
      <c r="E86" s="11" t="s">
        <v>299</v>
      </c>
      <c r="F86" s="11" t="s">
        <v>300</v>
      </c>
      <c r="G86" s="11" t="s">
        <v>37</v>
      </c>
      <c r="H86" s="11" t="s">
        <v>20</v>
      </c>
      <c r="I86" s="11"/>
      <c r="J86" s="11"/>
    </row>
    <row r="87" customFormat="false" ht="61.5" hidden="false" customHeight="true" outlineLevel="0" collapsed="false">
      <c r="A87" s="11" t="s">
        <v>285</v>
      </c>
      <c r="B87" s="12" t="str">
        <f aca="false">IF(ISNUMBER(Overview!B6),Overview!B6+42,"")</f>
        <v/>
      </c>
      <c r="C87" s="15" t="s">
        <v>61</v>
      </c>
      <c r="D87" s="11" t="s">
        <v>301</v>
      </c>
      <c r="E87" s="11" t="s">
        <v>302</v>
      </c>
      <c r="F87" s="11" t="s">
        <v>303</v>
      </c>
      <c r="G87" s="11" t="s">
        <v>37</v>
      </c>
      <c r="H87" s="11" t="s">
        <v>20</v>
      </c>
      <c r="I87" s="11"/>
      <c r="J87" s="11"/>
    </row>
    <row r="88" customFormat="false" ht="61.5" hidden="false" customHeight="true" outlineLevel="0" collapsed="false">
      <c r="A88" s="11" t="s">
        <v>285</v>
      </c>
      <c r="B88" s="12" t="str">
        <f aca="false">IF(ISNUMBER(Overview!B6),Overview!B6+42,"")</f>
        <v/>
      </c>
      <c r="C88" s="15" t="s">
        <v>208</v>
      </c>
      <c r="D88" s="11" t="s">
        <v>304</v>
      </c>
      <c r="E88" s="11" t="s">
        <v>305</v>
      </c>
      <c r="F88" s="11" t="s">
        <v>306</v>
      </c>
      <c r="G88" s="11" t="s">
        <v>37</v>
      </c>
      <c r="H88" s="11" t="s">
        <v>20</v>
      </c>
      <c r="I88" s="11"/>
      <c r="J88" s="11"/>
    </row>
    <row r="89" customFormat="false" ht="61.5" hidden="false" customHeight="true" outlineLevel="0" collapsed="false">
      <c r="A89" s="11" t="s">
        <v>285</v>
      </c>
      <c r="B89" s="12" t="str">
        <f aca="false">IF(ISNUMBER(Overview!B6),Overview!B6+42,"")</f>
        <v/>
      </c>
      <c r="C89" s="16" t="s">
        <v>110</v>
      </c>
      <c r="D89" s="11" t="s">
        <v>307</v>
      </c>
      <c r="E89" s="11" t="s">
        <v>308</v>
      </c>
      <c r="F89" s="11" t="s">
        <v>309</v>
      </c>
      <c r="G89" s="11" t="s">
        <v>37</v>
      </c>
      <c r="H89" s="11" t="s">
        <v>20</v>
      </c>
      <c r="I89" s="11"/>
      <c r="J89" s="11"/>
    </row>
    <row r="90" customFormat="false" ht="61.5" hidden="false" customHeight="true" outlineLevel="0" collapsed="false">
      <c r="A90" s="11" t="s">
        <v>285</v>
      </c>
      <c r="B90" s="12" t="str">
        <f aca="false">IF(ISNUMBER(Overview!B6),Overview!B6+42,"")</f>
        <v/>
      </c>
      <c r="C90" s="17" t="s">
        <v>114</v>
      </c>
      <c r="D90" s="11" t="s">
        <v>310</v>
      </c>
      <c r="E90" s="11" t="s">
        <v>311</v>
      </c>
      <c r="F90" s="11" t="s">
        <v>312</v>
      </c>
      <c r="G90" s="11" t="s">
        <v>37</v>
      </c>
      <c r="H90" s="11" t="s">
        <v>20</v>
      </c>
      <c r="I90" s="11"/>
      <c r="J90" s="11"/>
    </row>
    <row r="91" customFormat="false" ht="61.5" hidden="false" customHeight="true" outlineLevel="0" collapsed="false">
      <c r="A91" s="11" t="s">
        <v>285</v>
      </c>
      <c r="B91" s="12" t="str">
        <f aca="false">IF(ISNUMBER(Overview!B6),Overview!B6+42,"")</f>
        <v/>
      </c>
      <c r="C91" s="17" t="s">
        <v>114</v>
      </c>
      <c r="D91" s="11" t="s">
        <v>313</v>
      </c>
      <c r="E91" s="11" t="s">
        <v>314</v>
      </c>
      <c r="F91" s="11" t="s">
        <v>315</v>
      </c>
      <c r="G91" s="11" t="s">
        <v>37</v>
      </c>
      <c r="H91" s="11" t="s">
        <v>20</v>
      </c>
      <c r="I91" s="11"/>
      <c r="J91" s="11"/>
    </row>
    <row r="92" customFormat="false" ht="61.5" hidden="false" customHeight="true" outlineLevel="0" collapsed="false">
      <c r="A92" s="11" t="s">
        <v>316</v>
      </c>
      <c r="B92" s="12" t="str">
        <f aca="false">IF(ISNUMBER(Overview!B6),Overview!B6+49,"")</f>
        <v/>
      </c>
      <c r="C92" s="15" t="s">
        <v>61</v>
      </c>
      <c r="D92" s="11" t="s">
        <v>317</v>
      </c>
      <c r="E92" s="11" t="s">
        <v>318</v>
      </c>
      <c r="F92" s="11" t="s">
        <v>319</v>
      </c>
      <c r="G92" s="11" t="s">
        <v>37</v>
      </c>
      <c r="H92" s="11" t="s">
        <v>20</v>
      </c>
      <c r="I92" s="11"/>
      <c r="J92" s="11"/>
    </row>
    <row r="93" customFormat="false" ht="61.5" hidden="false" customHeight="true" outlineLevel="0" collapsed="false">
      <c r="A93" s="11" t="s">
        <v>316</v>
      </c>
      <c r="B93" s="12" t="str">
        <f aca="false">IF(ISNUMBER(Overview!B6),Overview!B6+49,"")</f>
        <v/>
      </c>
      <c r="C93" s="15" t="s">
        <v>61</v>
      </c>
      <c r="D93" s="11" t="s">
        <v>320</v>
      </c>
      <c r="E93" s="11" t="s">
        <v>321</v>
      </c>
      <c r="F93" s="11" t="s">
        <v>322</v>
      </c>
      <c r="G93" s="11" t="s">
        <v>37</v>
      </c>
      <c r="H93" s="11" t="s">
        <v>20</v>
      </c>
      <c r="I93" s="11"/>
      <c r="J93" s="11"/>
    </row>
    <row r="94" customFormat="false" ht="61.5" hidden="false" customHeight="true" outlineLevel="0" collapsed="false">
      <c r="A94" s="11" t="s">
        <v>316</v>
      </c>
      <c r="B94" s="12" t="str">
        <f aca="false">IF(ISNUMBER(Overview!B6),Overview!B6+49,"")</f>
        <v/>
      </c>
      <c r="C94" s="15" t="s">
        <v>61</v>
      </c>
      <c r="D94" s="11" t="s">
        <v>323</v>
      </c>
      <c r="E94" s="11" t="s">
        <v>324</v>
      </c>
      <c r="F94" s="11" t="s">
        <v>325</v>
      </c>
      <c r="G94" s="11" t="s">
        <v>37</v>
      </c>
      <c r="H94" s="11" t="s">
        <v>20</v>
      </c>
      <c r="I94" s="11"/>
      <c r="J94" s="11"/>
    </row>
    <row r="95" customFormat="false" ht="61.5" hidden="false" customHeight="true" outlineLevel="0" collapsed="false">
      <c r="A95" s="11" t="s">
        <v>316</v>
      </c>
      <c r="B95" s="12" t="str">
        <f aca="false">IF(ISNUMBER(Overview!B6),Overview!B6+49,"")</f>
        <v/>
      </c>
      <c r="C95" s="15" t="s">
        <v>61</v>
      </c>
      <c r="D95" s="11" t="s">
        <v>326</v>
      </c>
      <c r="E95" s="11" t="s">
        <v>327</v>
      </c>
      <c r="F95" s="11" t="s">
        <v>328</v>
      </c>
      <c r="G95" s="11" t="s">
        <v>37</v>
      </c>
      <c r="H95" s="11" t="s">
        <v>20</v>
      </c>
      <c r="I95" s="11"/>
      <c r="J95" s="11"/>
    </row>
    <row r="96" customFormat="false" ht="61.5" hidden="false" customHeight="true" outlineLevel="0" collapsed="false">
      <c r="A96" s="11" t="s">
        <v>316</v>
      </c>
      <c r="B96" s="12" t="str">
        <f aca="false">IF(ISNUMBER(Overview!B6),Overview!B6+49,"")</f>
        <v/>
      </c>
      <c r="C96" s="15" t="s">
        <v>61</v>
      </c>
      <c r="D96" s="11" t="s">
        <v>329</v>
      </c>
      <c r="E96" s="11" t="s">
        <v>330</v>
      </c>
      <c r="F96" s="11" t="s">
        <v>331</v>
      </c>
      <c r="G96" s="11" t="s">
        <v>37</v>
      </c>
      <c r="H96" s="11" t="s">
        <v>20</v>
      </c>
      <c r="I96" s="11"/>
      <c r="J96" s="11"/>
    </row>
    <row r="97" customFormat="false" ht="61.5" hidden="false" customHeight="true" outlineLevel="0" collapsed="false">
      <c r="A97" s="11" t="s">
        <v>316</v>
      </c>
      <c r="B97" s="12" t="str">
        <f aca="false">IF(ISNUMBER(Overview!B6),Overview!B6+49,"")</f>
        <v/>
      </c>
      <c r="C97" s="15" t="s">
        <v>61</v>
      </c>
      <c r="D97" s="11" t="s">
        <v>332</v>
      </c>
      <c r="E97" s="11" t="s">
        <v>333</v>
      </c>
      <c r="F97" s="11" t="s">
        <v>334</v>
      </c>
      <c r="G97" s="11" t="s">
        <v>37</v>
      </c>
      <c r="H97" s="11" t="s">
        <v>20</v>
      </c>
      <c r="I97" s="11"/>
      <c r="J97" s="11"/>
    </row>
    <row r="98" customFormat="false" ht="61.5" hidden="false" customHeight="true" outlineLevel="0" collapsed="false">
      <c r="A98" s="11" t="s">
        <v>316</v>
      </c>
      <c r="B98" s="12" t="str">
        <f aca="false">IF(ISNUMBER(Overview!B6),Overview!B6+49,"")</f>
        <v/>
      </c>
      <c r="C98" s="16" t="s">
        <v>110</v>
      </c>
      <c r="D98" s="11" t="s">
        <v>335</v>
      </c>
      <c r="E98" s="11" t="s">
        <v>336</v>
      </c>
      <c r="F98" s="11" t="s">
        <v>337</v>
      </c>
      <c r="G98" s="11" t="s">
        <v>37</v>
      </c>
      <c r="H98" s="11" t="s">
        <v>20</v>
      </c>
      <c r="I98" s="11"/>
      <c r="J98" s="11"/>
    </row>
    <row r="99" customFormat="false" ht="61.5" hidden="false" customHeight="true" outlineLevel="0" collapsed="false">
      <c r="A99" s="11" t="s">
        <v>316</v>
      </c>
      <c r="B99" s="12" t="str">
        <f aca="false">IF(ISNUMBER(Overview!B6),Overview!B6+49,"")</f>
        <v/>
      </c>
      <c r="C99" s="17" t="s">
        <v>114</v>
      </c>
      <c r="D99" s="11" t="s">
        <v>338</v>
      </c>
      <c r="E99" s="11" t="s">
        <v>339</v>
      </c>
      <c r="F99" s="11" t="s">
        <v>340</v>
      </c>
      <c r="G99" s="11" t="s">
        <v>37</v>
      </c>
      <c r="H99" s="11" t="s">
        <v>20</v>
      </c>
      <c r="I99" s="11"/>
      <c r="J99" s="11"/>
    </row>
  </sheetData>
  <autoFilter ref="A1:J99"/>
  <conditionalFormatting sqref="H2:H99">
    <cfRule type="cellIs" priority="2" operator="equal" aboveAverage="0" equalAverage="0" bottom="0" percent="0" rank="0" text="" dxfId="9">
      <formula>"Done"</formula>
    </cfRule>
    <cfRule type="cellIs" priority="3" operator="equal" aboveAverage="0" equalAverage="0" bottom="0" percent="0" rank="0" text="" dxfId="10">
      <formula>"In Progress"</formula>
    </cfRule>
    <cfRule type="cellIs" priority="4" operator="equal" aboveAverage="0" equalAverage="0" bottom="0" percent="0" rank="0" text="" dxfId="11">
      <formula>"Blocked"</formula>
    </cfRule>
    <cfRule type="cellIs" priority="5" operator="equal" aboveAverage="0" equalAverage="0" bottom="0" percent="0" rank="0" text="" dxfId="12">
      <formula>"Not Started"</formula>
    </cfRule>
  </conditionalFormatting>
  <dataValidations count="1">
    <dataValidation allowBlank="false" errorStyle="stop" operator="between" showDropDown="false" showErrorMessage="false" showInputMessage="false" sqref="H2:H99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75"/>
    <col collapsed="false" customWidth="true" hidden="false" outlineLevel="0" max="4" min="4" style="1" width="18"/>
  </cols>
  <sheetData>
    <row r="1" customFormat="false" ht="17.35" hidden="false" customHeight="false" outlineLevel="0" collapsed="false">
      <c r="A1" s="18" t="s">
        <v>341</v>
      </c>
      <c r="B1" s="18"/>
      <c r="C1" s="18"/>
      <c r="D1" s="18"/>
    </row>
    <row r="2" customFormat="false" ht="30" hidden="false" customHeight="true" outlineLevel="0" collapsed="false">
      <c r="A2" s="19" t="s">
        <v>342</v>
      </c>
      <c r="B2" s="19"/>
      <c r="C2" s="19"/>
      <c r="D2" s="19"/>
    </row>
    <row r="4" customFormat="false" ht="15" hidden="false" customHeight="false" outlineLevel="0" collapsed="false">
      <c r="A4" s="20" t="s">
        <v>343</v>
      </c>
      <c r="B4" s="20" t="s">
        <v>344</v>
      </c>
      <c r="C4" s="20" t="s">
        <v>345</v>
      </c>
      <c r="D4" s="20" t="s">
        <v>346</v>
      </c>
    </row>
    <row r="5" customFormat="false" ht="37.5" hidden="false" customHeight="true" outlineLevel="0" collapsed="false">
      <c r="A5" s="11" t="s">
        <v>347</v>
      </c>
      <c r="B5" s="11" t="s">
        <v>348</v>
      </c>
      <c r="C5" s="11" t="s">
        <v>349</v>
      </c>
      <c r="D5" s="11" t="s">
        <v>124</v>
      </c>
    </row>
    <row r="6" customFormat="false" ht="37.5" hidden="false" customHeight="true" outlineLevel="0" collapsed="false">
      <c r="A6" s="11" t="s">
        <v>347</v>
      </c>
      <c r="B6" s="11" t="s">
        <v>350</v>
      </c>
      <c r="C6" s="11" t="s">
        <v>351</v>
      </c>
      <c r="D6" s="11" t="s">
        <v>124</v>
      </c>
    </row>
    <row r="7" customFormat="false" ht="37.5" hidden="false" customHeight="true" outlineLevel="0" collapsed="false">
      <c r="A7" s="11" t="s">
        <v>347</v>
      </c>
      <c r="B7" s="11" t="s">
        <v>352</v>
      </c>
      <c r="C7" s="11" t="s">
        <v>353</v>
      </c>
      <c r="D7" s="11" t="s">
        <v>124</v>
      </c>
    </row>
    <row r="8" customFormat="false" ht="37.5" hidden="false" customHeight="true" outlineLevel="0" collapsed="false">
      <c r="A8" s="11" t="s">
        <v>347</v>
      </c>
      <c r="B8" s="11" t="s">
        <v>354</v>
      </c>
      <c r="C8" s="11" t="s">
        <v>355</v>
      </c>
      <c r="D8" s="11" t="s">
        <v>124</v>
      </c>
    </row>
    <row r="9" customFormat="false" ht="37.5" hidden="false" customHeight="true" outlineLevel="0" collapsed="false">
      <c r="A9" s="11" t="s">
        <v>347</v>
      </c>
      <c r="B9" s="11" t="s">
        <v>356</v>
      </c>
      <c r="C9" s="11" t="s">
        <v>357</v>
      </c>
      <c r="D9" s="11" t="s">
        <v>124</v>
      </c>
    </row>
    <row r="10" customFormat="false" ht="37.5" hidden="false" customHeight="true" outlineLevel="0" collapsed="false">
      <c r="A10" s="11" t="s">
        <v>358</v>
      </c>
      <c r="B10" s="11" t="s">
        <v>359</v>
      </c>
      <c r="C10" s="11" t="s">
        <v>360</v>
      </c>
      <c r="D10" s="11" t="s">
        <v>32</v>
      </c>
    </row>
    <row r="11" customFormat="false" ht="37.5" hidden="false" customHeight="true" outlineLevel="0" collapsed="false">
      <c r="A11" s="11" t="s">
        <v>358</v>
      </c>
      <c r="B11" s="11" t="s">
        <v>361</v>
      </c>
      <c r="C11" s="11" t="s">
        <v>362</v>
      </c>
      <c r="D11" s="11" t="s">
        <v>32</v>
      </c>
    </row>
    <row r="12" customFormat="false" ht="37.5" hidden="false" customHeight="true" outlineLevel="0" collapsed="false">
      <c r="A12" s="11" t="s">
        <v>358</v>
      </c>
      <c r="B12" s="11" t="s">
        <v>363</v>
      </c>
      <c r="C12" s="11" t="s">
        <v>364</v>
      </c>
      <c r="D12" s="11" t="s">
        <v>32</v>
      </c>
    </row>
    <row r="13" customFormat="false" ht="37.5" hidden="false" customHeight="true" outlineLevel="0" collapsed="false">
      <c r="A13" s="11" t="s">
        <v>358</v>
      </c>
      <c r="B13" s="11" t="s">
        <v>365</v>
      </c>
      <c r="C13" s="11" t="s">
        <v>366</v>
      </c>
      <c r="D13" s="11" t="s">
        <v>32</v>
      </c>
    </row>
    <row r="14" customFormat="false" ht="37.5" hidden="false" customHeight="true" outlineLevel="0" collapsed="false">
      <c r="A14" s="11" t="s">
        <v>358</v>
      </c>
      <c r="B14" s="11" t="s">
        <v>367</v>
      </c>
      <c r="C14" s="11" t="s">
        <v>368</v>
      </c>
      <c r="D14" s="11" t="s">
        <v>158</v>
      </c>
    </row>
    <row r="15" customFormat="false" ht="37.5" hidden="false" customHeight="true" outlineLevel="0" collapsed="false">
      <c r="A15" s="11" t="s">
        <v>358</v>
      </c>
      <c r="B15" s="11" t="s">
        <v>369</v>
      </c>
      <c r="C15" s="11" t="s">
        <v>370</v>
      </c>
      <c r="D15" s="11" t="s">
        <v>158</v>
      </c>
    </row>
    <row r="16" customFormat="false" ht="37.5" hidden="false" customHeight="true" outlineLevel="0" collapsed="false">
      <c r="A16" s="11" t="s">
        <v>371</v>
      </c>
      <c r="B16" s="11" t="s">
        <v>372</v>
      </c>
      <c r="C16" s="11" t="s">
        <v>373</v>
      </c>
      <c r="D16" s="11" t="s">
        <v>32</v>
      </c>
    </row>
    <row r="17" customFormat="false" ht="37.5" hidden="false" customHeight="true" outlineLevel="0" collapsed="false">
      <c r="A17" s="11" t="s">
        <v>371</v>
      </c>
      <c r="B17" s="11" t="s">
        <v>374</v>
      </c>
      <c r="C17" s="11" t="s">
        <v>375</v>
      </c>
      <c r="D17" s="11" t="s">
        <v>32</v>
      </c>
    </row>
    <row r="18" customFormat="false" ht="37.5" hidden="false" customHeight="true" outlineLevel="0" collapsed="false">
      <c r="A18" s="11" t="s">
        <v>371</v>
      </c>
      <c r="B18" s="11" t="s">
        <v>376</v>
      </c>
      <c r="C18" s="11" t="s">
        <v>377</v>
      </c>
      <c r="D18" s="11" t="s">
        <v>32</v>
      </c>
    </row>
    <row r="19" customFormat="false" ht="37.5" hidden="false" customHeight="true" outlineLevel="0" collapsed="false">
      <c r="A19" s="11" t="s">
        <v>371</v>
      </c>
      <c r="B19" s="11" t="s">
        <v>378</v>
      </c>
      <c r="C19" s="11" t="s">
        <v>379</v>
      </c>
      <c r="D19" s="11" t="s">
        <v>32</v>
      </c>
    </row>
    <row r="20" customFormat="false" ht="37.5" hidden="false" customHeight="true" outlineLevel="0" collapsed="false">
      <c r="A20" s="11" t="s">
        <v>371</v>
      </c>
      <c r="B20" s="11" t="s">
        <v>380</v>
      </c>
      <c r="C20" s="11" t="s">
        <v>381</v>
      </c>
      <c r="D20" s="11" t="s">
        <v>32</v>
      </c>
    </row>
    <row r="21" customFormat="false" ht="37.5" hidden="false" customHeight="true" outlineLevel="0" collapsed="false">
      <c r="A21" s="11" t="s">
        <v>382</v>
      </c>
      <c r="B21" s="11" t="s">
        <v>383</v>
      </c>
      <c r="C21" s="11" t="s">
        <v>384</v>
      </c>
      <c r="D21" s="11" t="s">
        <v>32</v>
      </c>
    </row>
    <row r="22" customFormat="false" ht="37.5" hidden="false" customHeight="true" outlineLevel="0" collapsed="false">
      <c r="A22" s="11" t="s">
        <v>382</v>
      </c>
      <c r="B22" s="11" t="s">
        <v>385</v>
      </c>
      <c r="C22" s="11" t="s">
        <v>386</v>
      </c>
      <c r="D22" s="11" t="s">
        <v>32</v>
      </c>
    </row>
    <row r="23" customFormat="false" ht="37.5" hidden="false" customHeight="true" outlineLevel="0" collapsed="false">
      <c r="A23" s="11" t="s">
        <v>382</v>
      </c>
      <c r="B23" s="11" t="s">
        <v>387</v>
      </c>
      <c r="C23" s="11" t="s">
        <v>388</v>
      </c>
      <c r="D23" s="11" t="s">
        <v>158</v>
      </c>
    </row>
    <row r="24" customFormat="false" ht="37.5" hidden="false" customHeight="true" outlineLevel="0" collapsed="false">
      <c r="A24" s="11" t="s">
        <v>382</v>
      </c>
      <c r="B24" s="11" t="s">
        <v>389</v>
      </c>
      <c r="C24" s="11" t="s">
        <v>390</v>
      </c>
      <c r="D24" s="11" t="s">
        <v>221</v>
      </c>
    </row>
    <row r="25" customFormat="false" ht="37.5" hidden="false" customHeight="true" outlineLevel="0" collapsed="false">
      <c r="A25" s="11" t="s">
        <v>382</v>
      </c>
      <c r="B25" s="11" t="s">
        <v>391</v>
      </c>
      <c r="C25" s="11" t="s">
        <v>392</v>
      </c>
      <c r="D25" s="11" t="s">
        <v>158</v>
      </c>
    </row>
    <row r="26" customFormat="false" ht="37.5" hidden="false" customHeight="true" outlineLevel="0" collapsed="false">
      <c r="A26" s="11" t="s">
        <v>382</v>
      </c>
      <c r="B26" s="11" t="s">
        <v>393</v>
      </c>
      <c r="C26" s="11" t="s">
        <v>394</v>
      </c>
      <c r="D26" s="11" t="s">
        <v>158</v>
      </c>
    </row>
    <row r="27" customFormat="false" ht="37.5" hidden="false" customHeight="true" outlineLevel="0" collapsed="false">
      <c r="A27" s="11" t="s">
        <v>382</v>
      </c>
      <c r="B27" s="11" t="s">
        <v>395</v>
      </c>
      <c r="C27" s="11" t="s">
        <v>396</v>
      </c>
      <c r="D27" s="11" t="s">
        <v>158</v>
      </c>
    </row>
    <row r="28" customFormat="false" ht="37.5" hidden="false" customHeight="true" outlineLevel="0" collapsed="false">
      <c r="A28" s="11" t="s">
        <v>382</v>
      </c>
      <c r="B28" s="11" t="s">
        <v>397</v>
      </c>
      <c r="C28" s="11" t="s">
        <v>398</v>
      </c>
      <c r="D28" s="11" t="s">
        <v>158</v>
      </c>
    </row>
    <row r="29" customFormat="false" ht="37.5" hidden="false" customHeight="true" outlineLevel="0" collapsed="false">
      <c r="A29" s="11" t="s">
        <v>382</v>
      </c>
      <c r="B29" s="11" t="s">
        <v>399</v>
      </c>
      <c r="C29" s="11" t="s">
        <v>400</v>
      </c>
      <c r="D29" s="11" t="s">
        <v>401</v>
      </c>
    </row>
    <row r="30" customFormat="false" ht="37.5" hidden="false" customHeight="true" outlineLevel="0" collapsed="false">
      <c r="A30" s="11" t="s">
        <v>382</v>
      </c>
      <c r="B30" s="11" t="s">
        <v>402</v>
      </c>
      <c r="C30" s="11" t="s">
        <v>403</v>
      </c>
      <c r="D30" s="11" t="s">
        <v>255</v>
      </c>
    </row>
    <row r="31" customFormat="false" ht="37.5" hidden="false" customHeight="true" outlineLevel="0" collapsed="false">
      <c r="A31" s="11" t="s">
        <v>382</v>
      </c>
      <c r="B31" s="11" t="s">
        <v>404</v>
      </c>
      <c r="C31" s="11" t="s">
        <v>405</v>
      </c>
      <c r="D31" s="11" t="s">
        <v>255</v>
      </c>
    </row>
    <row r="32" customFormat="false" ht="37.5" hidden="false" customHeight="true" outlineLevel="0" collapsed="false">
      <c r="A32" s="11" t="s">
        <v>382</v>
      </c>
      <c r="B32" s="11" t="s">
        <v>406</v>
      </c>
      <c r="C32" s="11" t="s">
        <v>407</v>
      </c>
      <c r="D32" s="11" t="s">
        <v>255</v>
      </c>
    </row>
    <row r="33" customFormat="false" ht="37.5" hidden="false" customHeight="true" outlineLevel="0" collapsed="false">
      <c r="A33" s="11" t="s">
        <v>382</v>
      </c>
      <c r="B33" s="11" t="s">
        <v>408</v>
      </c>
      <c r="C33" s="11" t="s">
        <v>409</v>
      </c>
      <c r="D33" s="11" t="s">
        <v>255</v>
      </c>
    </row>
    <row r="34" customFormat="false" ht="37.5" hidden="false" customHeight="true" outlineLevel="0" collapsed="false">
      <c r="A34" s="11" t="s">
        <v>382</v>
      </c>
      <c r="B34" s="11" t="s">
        <v>410</v>
      </c>
      <c r="C34" s="11" t="s">
        <v>411</v>
      </c>
      <c r="D34" s="11" t="s">
        <v>192</v>
      </c>
    </row>
    <row r="35" customFormat="false" ht="37.5" hidden="false" customHeight="true" outlineLevel="0" collapsed="false">
      <c r="A35" s="11" t="s">
        <v>382</v>
      </c>
      <c r="B35" s="11" t="s">
        <v>412</v>
      </c>
      <c r="C35" s="11" t="s">
        <v>413</v>
      </c>
      <c r="D35" s="11" t="s">
        <v>192</v>
      </c>
    </row>
    <row r="36" customFormat="false" ht="37.5" hidden="false" customHeight="true" outlineLevel="0" collapsed="false">
      <c r="A36" s="11" t="s">
        <v>382</v>
      </c>
      <c r="B36" s="11" t="s">
        <v>414</v>
      </c>
      <c r="C36" s="11" t="s">
        <v>415</v>
      </c>
      <c r="D36" s="11" t="s">
        <v>316</v>
      </c>
    </row>
    <row r="37" customFormat="false" ht="37.5" hidden="false" customHeight="true" outlineLevel="0" collapsed="false">
      <c r="A37" s="11" t="s">
        <v>416</v>
      </c>
      <c r="B37" s="11" t="s">
        <v>417</v>
      </c>
      <c r="C37" s="11" t="s">
        <v>418</v>
      </c>
      <c r="D37" s="11" t="s">
        <v>192</v>
      </c>
    </row>
    <row r="38" customFormat="false" ht="37.5" hidden="false" customHeight="true" outlineLevel="0" collapsed="false">
      <c r="A38" s="11" t="s">
        <v>416</v>
      </c>
      <c r="B38" s="11" t="s">
        <v>419</v>
      </c>
      <c r="C38" s="11" t="s">
        <v>420</v>
      </c>
      <c r="D38" s="11" t="s">
        <v>221</v>
      </c>
    </row>
    <row r="39" customFormat="false" ht="37.5" hidden="false" customHeight="true" outlineLevel="0" collapsed="false">
      <c r="A39" s="11" t="s">
        <v>416</v>
      </c>
      <c r="B39" s="11" t="s">
        <v>421</v>
      </c>
      <c r="C39" s="11" t="s">
        <v>422</v>
      </c>
      <c r="D39" s="11" t="s">
        <v>255</v>
      </c>
    </row>
    <row r="40" customFormat="false" ht="37.5" hidden="false" customHeight="true" outlineLevel="0" collapsed="false">
      <c r="A40" s="11" t="s">
        <v>416</v>
      </c>
      <c r="B40" s="11" t="s">
        <v>423</v>
      </c>
      <c r="C40" s="11" t="s">
        <v>424</v>
      </c>
      <c r="D40" s="11" t="s">
        <v>221</v>
      </c>
    </row>
    <row r="41" customFormat="false" ht="37.5" hidden="false" customHeight="true" outlineLevel="0" collapsed="false">
      <c r="A41" s="11" t="s">
        <v>416</v>
      </c>
      <c r="B41" s="11" t="s">
        <v>425</v>
      </c>
      <c r="C41" s="11" t="s">
        <v>426</v>
      </c>
      <c r="D41" s="11" t="s">
        <v>221</v>
      </c>
    </row>
    <row r="42" customFormat="false" ht="37.5" hidden="false" customHeight="true" outlineLevel="0" collapsed="false">
      <c r="A42" s="11" t="s">
        <v>416</v>
      </c>
      <c r="B42" s="11" t="s">
        <v>427</v>
      </c>
      <c r="C42" s="11" t="s">
        <v>428</v>
      </c>
      <c r="D42" s="11" t="s">
        <v>221</v>
      </c>
    </row>
    <row r="43" customFormat="false" ht="37.5" hidden="false" customHeight="true" outlineLevel="0" collapsed="false">
      <c r="A43" s="11" t="s">
        <v>416</v>
      </c>
      <c r="B43" s="11" t="s">
        <v>429</v>
      </c>
      <c r="C43" s="11" t="s">
        <v>430</v>
      </c>
      <c r="D43" s="11" t="s">
        <v>221</v>
      </c>
    </row>
    <row r="44" customFormat="false" ht="37.5" hidden="false" customHeight="true" outlineLevel="0" collapsed="false">
      <c r="A44" s="11" t="s">
        <v>416</v>
      </c>
      <c r="B44" s="11" t="s">
        <v>431</v>
      </c>
      <c r="C44" s="11" t="s">
        <v>432</v>
      </c>
      <c r="D44" s="11" t="s">
        <v>192</v>
      </c>
    </row>
    <row r="45" customFormat="false" ht="37.5" hidden="false" customHeight="true" outlineLevel="0" collapsed="false">
      <c r="A45" s="11" t="s">
        <v>416</v>
      </c>
      <c r="B45" s="11" t="s">
        <v>433</v>
      </c>
      <c r="C45" s="11" t="s">
        <v>434</v>
      </c>
      <c r="D45" s="11" t="s">
        <v>192</v>
      </c>
    </row>
    <row r="46" customFormat="false" ht="37.5" hidden="false" customHeight="true" outlineLevel="0" collapsed="false">
      <c r="A46" s="11" t="s">
        <v>416</v>
      </c>
      <c r="B46" s="11" t="s">
        <v>435</v>
      </c>
      <c r="C46" s="11" t="s">
        <v>436</v>
      </c>
      <c r="D46" s="11" t="s">
        <v>221</v>
      </c>
    </row>
    <row r="47" customFormat="false" ht="37.5" hidden="false" customHeight="true" outlineLevel="0" collapsed="false">
      <c r="A47" s="11" t="s">
        <v>437</v>
      </c>
      <c r="B47" s="11" t="s">
        <v>438</v>
      </c>
      <c r="C47" s="11" t="s">
        <v>439</v>
      </c>
      <c r="D47" s="11" t="s">
        <v>32</v>
      </c>
    </row>
    <row r="48" customFormat="false" ht="37.5" hidden="false" customHeight="true" outlineLevel="0" collapsed="false">
      <c r="A48" s="11" t="s">
        <v>437</v>
      </c>
      <c r="B48" s="11" t="s">
        <v>440</v>
      </c>
      <c r="C48" s="11" t="s">
        <v>441</v>
      </c>
      <c r="D48" s="11" t="s">
        <v>158</v>
      </c>
    </row>
    <row r="49" customFormat="false" ht="37.5" hidden="false" customHeight="true" outlineLevel="0" collapsed="false">
      <c r="A49" s="11" t="s">
        <v>437</v>
      </c>
      <c r="B49" s="11" t="s">
        <v>159</v>
      </c>
      <c r="C49" s="11" t="s">
        <v>442</v>
      </c>
      <c r="D49" s="11" t="s">
        <v>158</v>
      </c>
    </row>
    <row r="50" customFormat="false" ht="37.5" hidden="false" customHeight="true" outlineLevel="0" collapsed="false">
      <c r="A50" s="11" t="s">
        <v>437</v>
      </c>
      <c r="B50" s="11" t="s">
        <v>443</v>
      </c>
      <c r="C50" s="11" t="s">
        <v>444</v>
      </c>
      <c r="D50" s="11" t="s">
        <v>32</v>
      </c>
    </row>
    <row r="51" customFormat="false" ht="37.5" hidden="false" customHeight="true" outlineLevel="0" collapsed="false">
      <c r="A51" s="11" t="s">
        <v>437</v>
      </c>
      <c r="B51" s="11" t="s">
        <v>445</v>
      </c>
      <c r="C51" s="11" t="s">
        <v>446</v>
      </c>
      <c r="D51" s="11" t="s">
        <v>158</v>
      </c>
    </row>
    <row r="52" customFormat="false" ht="37.5" hidden="false" customHeight="true" outlineLevel="0" collapsed="false">
      <c r="A52" s="11" t="s">
        <v>447</v>
      </c>
      <c r="B52" s="11" t="s">
        <v>448</v>
      </c>
      <c r="C52" s="11" t="s">
        <v>449</v>
      </c>
      <c r="D52" s="11" t="s">
        <v>192</v>
      </c>
    </row>
    <row r="53" customFormat="false" ht="37.5" hidden="false" customHeight="true" outlineLevel="0" collapsed="false">
      <c r="A53" s="11" t="s">
        <v>447</v>
      </c>
      <c r="B53" s="11" t="s">
        <v>450</v>
      </c>
      <c r="C53" s="11" t="s">
        <v>451</v>
      </c>
      <c r="D53" s="11" t="s">
        <v>192</v>
      </c>
    </row>
    <row r="54" customFormat="false" ht="37.5" hidden="false" customHeight="true" outlineLevel="0" collapsed="false">
      <c r="A54" s="11" t="s">
        <v>447</v>
      </c>
      <c r="B54" s="11" t="s">
        <v>452</v>
      </c>
      <c r="C54" s="11" t="s">
        <v>453</v>
      </c>
      <c r="D54" s="11" t="s">
        <v>192</v>
      </c>
    </row>
  </sheetData>
  <autoFilter ref="A4:D54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52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24"/>
  </cols>
  <sheetData>
    <row r="1" customFormat="false" ht="15" hidden="false" customHeight="false" outlineLevel="0" collapsed="false">
      <c r="A1" s="20" t="s">
        <v>22</v>
      </c>
      <c r="B1" s="20" t="s">
        <v>110</v>
      </c>
      <c r="C1" s="20" t="s">
        <v>26</v>
      </c>
      <c r="D1" s="20" t="s">
        <v>454</v>
      </c>
      <c r="E1" s="20" t="s">
        <v>29</v>
      </c>
      <c r="F1" s="20" t="s">
        <v>30</v>
      </c>
    </row>
    <row r="2" customFormat="false" ht="63.75" hidden="false" customHeight="true" outlineLevel="0" collapsed="false">
      <c r="A2" s="11" t="s">
        <v>32</v>
      </c>
      <c r="B2" s="11" t="s">
        <v>111</v>
      </c>
      <c r="C2" s="11" t="s">
        <v>455</v>
      </c>
      <c r="D2" s="11" t="s">
        <v>456</v>
      </c>
      <c r="E2" s="11" t="s">
        <v>20</v>
      </c>
      <c r="F2" s="11"/>
    </row>
    <row r="3" customFormat="false" ht="63.75" hidden="false" customHeight="true" outlineLevel="0" collapsed="false">
      <c r="A3" s="11" t="s">
        <v>124</v>
      </c>
      <c r="B3" s="11" t="s">
        <v>149</v>
      </c>
      <c r="C3" s="11" t="s">
        <v>457</v>
      </c>
      <c r="D3" s="11" t="s">
        <v>458</v>
      </c>
      <c r="E3" s="11" t="s">
        <v>20</v>
      </c>
      <c r="F3" s="11"/>
    </row>
    <row r="4" customFormat="false" ht="63.75" hidden="false" customHeight="true" outlineLevel="0" collapsed="false">
      <c r="A4" s="11" t="s">
        <v>158</v>
      </c>
      <c r="B4" s="11" t="s">
        <v>183</v>
      </c>
      <c r="C4" s="11" t="s">
        <v>459</v>
      </c>
      <c r="D4" s="11" t="s">
        <v>460</v>
      </c>
      <c r="E4" s="11" t="s">
        <v>20</v>
      </c>
      <c r="F4" s="11"/>
    </row>
    <row r="5" customFormat="false" ht="63.75" hidden="false" customHeight="true" outlineLevel="0" collapsed="false">
      <c r="A5" s="11" t="s">
        <v>192</v>
      </c>
      <c r="B5" s="11" t="s">
        <v>212</v>
      </c>
      <c r="C5" s="11" t="s">
        <v>461</v>
      </c>
      <c r="D5" s="11" t="s">
        <v>462</v>
      </c>
      <c r="E5" s="11" t="s">
        <v>20</v>
      </c>
      <c r="F5" s="11"/>
    </row>
    <row r="6" customFormat="false" ht="63.75" hidden="false" customHeight="true" outlineLevel="0" collapsed="false">
      <c r="A6" s="11" t="s">
        <v>221</v>
      </c>
      <c r="B6" s="11" t="s">
        <v>246</v>
      </c>
      <c r="C6" s="11" t="s">
        <v>463</v>
      </c>
      <c r="D6" s="11" t="s">
        <v>464</v>
      </c>
      <c r="E6" s="11" t="s">
        <v>20</v>
      </c>
      <c r="F6" s="11"/>
    </row>
    <row r="7" customFormat="false" ht="63.75" hidden="false" customHeight="true" outlineLevel="0" collapsed="false">
      <c r="A7" s="11" t="s">
        <v>255</v>
      </c>
      <c r="B7" s="11" t="s">
        <v>279</v>
      </c>
      <c r="C7" s="11" t="s">
        <v>465</v>
      </c>
      <c r="D7" s="11" t="s">
        <v>466</v>
      </c>
      <c r="E7" s="11" t="s">
        <v>20</v>
      </c>
      <c r="F7" s="11"/>
    </row>
    <row r="8" customFormat="false" ht="63.75" hidden="false" customHeight="true" outlineLevel="0" collapsed="false">
      <c r="A8" s="11" t="s">
        <v>285</v>
      </c>
      <c r="B8" s="11" t="s">
        <v>307</v>
      </c>
      <c r="C8" s="11" t="s">
        <v>467</v>
      </c>
      <c r="D8" s="11" t="s">
        <v>468</v>
      </c>
      <c r="E8" s="11" t="s">
        <v>20</v>
      </c>
      <c r="F8" s="11"/>
    </row>
    <row r="9" customFormat="false" ht="63.75" hidden="false" customHeight="true" outlineLevel="0" collapsed="false">
      <c r="A9" s="11" t="s">
        <v>316</v>
      </c>
      <c r="B9" s="11" t="s">
        <v>335</v>
      </c>
      <c r="C9" s="11" t="s">
        <v>469</v>
      </c>
      <c r="D9" s="11" t="s">
        <v>470</v>
      </c>
      <c r="E9" s="11" t="s">
        <v>20</v>
      </c>
      <c r="F9" s="11"/>
    </row>
  </sheetData>
  <conditionalFormatting sqref="E2:E9">
    <cfRule type="cellIs" priority="2" operator="equal" aboveAverage="0" equalAverage="0" bottom="0" percent="0" rank="0" text="" dxfId="9">
      <formula>"Done"</formula>
    </cfRule>
    <cfRule type="cellIs" priority="3" operator="equal" aboveAverage="0" equalAverage="0" bottom="0" percent="0" rank="0" text="" dxfId="10">
      <formula>"In Progress"</formula>
    </cfRule>
    <cfRule type="cellIs" priority="4" operator="equal" aboveAverage="0" equalAverage="0" bottom="0" percent="0" rank="0" text="" dxfId="11">
      <formula>"Blocked"</formula>
    </cfRule>
    <cfRule type="cellIs" priority="5" operator="equal" aboveAverage="0" equalAverage="0" bottom="0" percent="0" rank="0" text="" dxfId="12">
      <formula>"Not Started"</formula>
    </cfRule>
  </conditionalFormatting>
  <dataValidations count="1">
    <dataValidation allowBlank="false" errorStyle="stop" operator="between" showDropDown="false" showErrorMessage="false" showInputMessage="false" sqref="E2:E9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6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5" hidden="false" customHeight="false" outlineLevel="0" collapsed="false">
      <c r="A1" s="20" t="s">
        <v>471</v>
      </c>
      <c r="B1" s="20" t="s">
        <v>472</v>
      </c>
      <c r="C1" s="20" t="s">
        <v>473</v>
      </c>
      <c r="D1" s="20" t="s">
        <v>474</v>
      </c>
      <c r="E1" s="20" t="s">
        <v>28</v>
      </c>
      <c r="F1" s="20" t="s">
        <v>475</v>
      </c>
    </row>
    <row r="2" customFormat="false" ht="51.75" hidden="false" customHeight="true" outlineLevel="0" collapsed="false">
      <c r="A2" s="11" t="s">
        <v>476</v>
      </c>
      <c r="B2" s="11" t="s">
        <v>477</v>
      </c>
      <c r="C2" s="11" t="s">
        <v>478</v>
      </c>
      <c r="D2" s="11" t="s">
        <v>479</v>
      </c>
      <c r="E2" s="11" t="s">
        <v>37</v>
      </c>
      <c r="F2" s="11" t="s">
        <v>480</v>
      </c>
    </row>
    <row r="3" customFormat="false" ht="51.75" hidden="false" customHeight="true" outlineLevel="0" collapsed="false">
      <c r="A3" s="11" t="s">
        <v>481</v>
      </c>
      <c r="B3" s="11" t="s">
        <v>482</v>
      </c>
      <c r="C3" s="11" t="s">
        <v>483</v>
      </c>
      <c r="D3" s="11" t="s">
        <v>484</v>
      </c>
      <c r="E3" s="11" t="s">
        <v>485</v>
      </c>
      <c r="F3" s="11" t="s">
        <v>486</v>
      </c>
    </row>
    <row r="4" customFormat="false" ht="51.75" hidden="false" customHeight="true" outlineLevel="0" collapsed="false">
      <c r="A4" s="11" t="s">
        <v>487</v>
      </c>
      <c r="B4" s="11" t="s">
        <v>488</v>
      </c>
      <c r="C4" s="11" t="s">
        <v>489</v>
      </c>
      <c r="D4" s="11" t="s">
        <v>490</v>
      </c>
      <c r="E4" s="11" t="s">
        <v>37</v>
      </c>
      <c r="F4" s="11" t="s">
        <v>491</v>
      </c>
    </row>
    <row r="5" customFormat="false" ht="51.75" hidden="false" customHeight="true" outlineLevel="0" collapsed="false">
      <c r="A5" s="11" t="s">
        <v>492</v>
      </c>
      <c r="B5" s="11" t="s">
        <v>493</v>
      </c>
      <c r="C5" s="11" t="s">
        <v>494</v>
      </c>
      <c r="D5" s="11" t="s">
        <v>495</v>
      </c>
      <c r="E5" s="11" t="s">
        <v>41</v>
      </c>
      <c r="F5" s="11" t="s">
        <v>496</v>
      </c>
    </row>
    <row r="6" customFormat="false" ht="51.75" hidden="false" customHeight="true" outlineLevel="0" collapsed="false">
      <c r="A6" s="11" t="s">
        <v>497</v>
      </c>
      <c r="B6" s="11" t="s">
        <v>498</v>
      </c>
      <c r="C6" s="11" t="s">
        <v>499</v>
      </c>
      <c r="D6" s="11" t="s">
        <v>500</v>
      </c>
      <c r="E6" s="11" t="s">
        <v>37</v>
      </c>
      <c r="F6" s="11" t="s">
        <v>501</v>
      </c>
    </row>
    <row r="7" customFormat="false" ht="51.75" hidden="false" customHeight="true" outlineLevel="0" collapsed="false">
      <c r="A7" s="11" t="s">
        <v>502</v>
      </c>
      <c r="B7" s="11" t="s">
        <v>503</v>
      </c>
      <c r="C7" s="11" t="s">
        <v>483</v>
      </c>
      <c r="D7" s="11" t="s">
        <v>504</v>
      </c>
      <c r="E7" s="11" t="s">
        <v>41</v>
      </c>
      <c r="F7" s="11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5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18" t="s">
        <v>506</v>
      </c>
      <c r="B1" s="18"/>
      <c r="C1" s="18"/>
      <c r="D1" s="18"/>
    </row>
    <row r="2" customFormat="false" ht="15" hidden="false" customHeight="false" outlineLevel="0" collapsed="false">
      <c r="A2" s="21" t="s">
        <v>507</v>
      </c>
      <c r="B2" s="21"/>
      <c r="C2" s="21"/>
      <c r="D2" s="21"/>
    </row>
    <row r="4" customFormat="false" ht="15" hidden="false" customHeight="false" outlineLevel="0" collapsed="false">
      <c r="A4" s="20" t="s">
        <v>508</v>
      </c>
      <c r="B4" s="20" t="s">
        <v>509</v>
      </c>
      <c r="C4" s="20" t="s">
        <v>510</v>
      </c>
      <c r="D4" s="20" t="s">
        <v>511</v>
      </c>
    </row>
    <row r="5" customFormat="false" ht="79.5" hidden="false" customHeight="true" outlineLevel="0" collapsed="false">
      <c r="A5" s="11" t="n">
        <v>1</v>
      </c>
      <c r="B5" s="11" t="s">
        <v>512</v>
      </c>
      <c r="C5" s="11" t="s">
        <v>513</v>
      </c>
      <c r="D5" s="11"/>
    </row>
    <row r="6" customFormat="false" ht="79.5" hidden="false" customHeight="true" outlineLevel="0" collapsed="false">
      <c r="A6" s="11" t="n">
        <v>2</v>
      </c>
      <c r="B6" s="11" t="s">
        <v>514</v>
      </c>
      <c r="C6" s="11" t="s">
        <v>515</v>
      </c>
      <c r="D6" s="11"/>
    </row>
    <row r="7" customFormat="false" ht="79.5" hidden="false" customHeight="true" outlineLevel="0" collapsed="false">
      <c r="A7" s="11" t="n">
        <v>3</v>
      </c>
      <c r="B7" s="11" t="s">
        <v>516</v>
      </c>
      <c r="C7" s="11" t="s">
        <v>517</v>
      </c>
      <c r="D7" s="11"/>
    </row>
    <row r="8" customFormat="false" ht="79.5" hidden="false" customHeight="true" outlineLevel="0" collapsed="false">
      <c r="A8" s="11" t="n">
        <v>4</v>
      </c>
      <c r="B8" s="11" t="s">
        <v>518</v>
      </c>
      <c r="C8" s="11" t="s">
        <v>519</v>
      </c>
      <c r="D8" s="11"/>
    </row>
    <row r="9" customFormat="false" ht="79.5" hidden="false" customHeight="true" outlineLevel="0" collapsed="false">
      <c r="A9" s="11" t="n">
        <v>5</v>
      </c>
      <c r="B9" s="11" t="s">
        <v>520</v>
      </c>
      <c r="C9" s="11" t="s">
        <v>521</v>
      </c>
      <c r="D9" s="11"/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2"/>
    <col collapsed="false" customWidth="true" hidden="false" outlineLevel="0" max="3" min="3" style="1" width="36"/>
    <col collapsed="false" customWidth="true" hidden="false" outlineLevel="0" max="4" min="4" style="1" width="55"/>
  </cols>
  <sheetData>
    <row r="1" customFormat="false" ht="15" hidden="false" customHeight="false" outlineLevel="0" collapsed="false">
      <c r="A1" s="20" t="s">
        <v>22</v>
      </c>
      <c r="B1" s="20" t="s">
        <v>522</v>
      </c>
      <c r="C1" s="20" t="s">
        <v>523</v>
      </c>
      <c r="D1" s="20" t="s">
        <v>524</v>
      </c>
    </row>
    <row r="2" customFormat="false" ht="54.75" hidden="false" customHeight="true" outlineLevel="0" collapsed="false">
      <c r="A2" s="11" t="s">
        <v>32</v>
      </c>
      <c r="B2" s="11" t="s">
        <v>525</v>
      </c>
      <c r="C2" s="11" t="s">
        <v>526</v>
      </c>
      <c r="D2" s="11" t="s">
        <v>527</v>
      </c>
    </row>
    <row r="3" customFormat="false" ht="54.75" hidden="false" customHeight="true" outlineLevel="0" collapsed="false">
      <c r="A3" s="11" t="s">
        <v>32</v>
      </c>
      <c r="B3" s="11" t="s">
        <v>528</v>
      </c>
      <c r="C3" s="11" t="s">
        <v>529</v>
      </c>
      <c r="D3" s="11" t="s">
        <v>530</v>
      </c>
    </row>
    <row r="4" customFormat="false" ht="54.75" hidden="false" customHeight="true" outlineLevel="0" collapsed="false">
      <c r="A4" s="11" t="s">
        <v>32</v>
      </c>
      <c r="B4" s="11" t="s">
        <v>531</v>
      </c>
      <c r="C4" s="11" t="s">
        <v>532</v>
      </c>
      <c r="D4" s="11" t="s">
        <v>533</v>
      </c>
    </row>
    <row r="5" customFormat="false" ht="54.75" hidden="false" customHeight="true" outlineLevel="0" collapsed="false">
      <c r="A5" s="11" t="s">
        <v>124</v>
      </c>
      <c r="B5" s="11" t="s">
        <v>534</v>
      </c>
      <c r="C5" s="11" t="s">
        <v>526</v>
      </c>
      <c r="D5" s="11" t="s">
        <v>535</v>
      </c>
    </row>
    <row r="6" customFormat="false" ht="54.75" hidden="false" customHeight="true" outlineLevel="0" collapsed="false">
      <c r="A6" s="11" t="s">
        <v>124</v>
      </c>
      <c r="B6" s="11" t="s">
        <v>536</v>
      </c>
      <c r="C6" s="11" t="s">
        <v>537</v>
      </c>
      <c r="D6" s="11" t="s">
        <v>538</v>
      </c>
    </row>
    <row r="7" customFormat="false" ht="54.75" hidden="false" customHeight="true" outlineLevel="0" collapsed="false">
      <c r="A7" s="11" t="s">
        <v>158</v>
      </c>
      <c r="B7" s="11" t="s">
        <v>539</v>
      </c>
      <c r="C7" s="11" t="s">
        <v>540</v>
      </c>
      <c r="D7" s="11" t="s">
        <v>541</v>
      </c>
    </row>
    <row r="8" customFormat="false" ht="54.75" hidden="false" customHeight="true" outlineLevel="0" collapsed="false">
      <c r="A8" s="11" t="s">
        <v>158</v>
      </c>
      <c r="B8" s="11" t="s">
        <v>542</v>
      </c>
      <c r="C8" s="11" t="s">
        <v>543</v>
      </c>
      <c r="D8" s="11" t="s">
        <v>544</v>
      </c>
    </row>
    <row r="9" customFormat="false" ht="54.75" hidden="false" customHeight="true" outlineLevel="0" collapsed="false">
      <c r="A9" s="11" t="s">
        <v>192</v>
      </c>
      <c r="B9" s="11" t="s">
        <v>545</v>
      </c>
      <c r="C9" s="11" t="s">
        <v>546</v>
      </c>
      <c r="D9" s="11" t="s">
        <v>217</v>
      </c>
    </row>
    <row r="10" customFormat="false" ht="54.75" hidden="false" customHeight="true" outlineLevel="0" collapsed="false">
      <c r="A10" s="11" t="s">
        <v>192</v>
      </c>
      <c r="B10" s="11" t="s">
        <v>547</v>
      </c>
      <c r="C10" s="11" t="s">
        <v>548</v>
      </c>
      <c r="D10" s="11" t="s">
        <v>549</v>
      </c>
    </row>
    <row r="11" customFormat="false" ht="54.75" hidden="false" customHeight="true" outlineLevel="0" collapsed="false">
      <c r="A11" s="11" t="s">
        <v>221</v>
      </c>
      <c r="B11" s="11" t="s">
        <v>550</v>
      </c>
      <c r="C11" s="11" t="s">
        <v>551</v>
      </c>
      <c r="D11" s="11" t="s">
        <v>251</v>
      </c>
    </row>
    <row r="12" customFormat="false" ht="54.75" hidden="false" customHeight="true" outlineLevel="0" collapsed="false">
      <c r="A12" s="11" t="s">
        <v>221</v>
      </c>
      <c r="B12" s="11" t="s">
        <v>552</v>
      </c>
      <c r="C12" s="11" t="s">
        <v>553</v>
      </c>
      <c r="D12" s="11" t="s">
        <v>554</v>
      </c>
    </row>
    <row r="13" customFormat="false" ht="54.75" hidden="false" customHeight="true" outlineLevel="0" collapsed="false">
      <c r="A13" s="11" t="s">
        <v>255</v>
      </c>
      <c r="B13" s="11" t="s">
        <v>555</v>
      </c>
      <c r="C13" s="11" t="s">
        <v>556</v>
      </c>
      <c r="D13" s="11" t="s">
        <v>284</v>
      </c>
    </row>
    <row r="14" customFormat="false" ht="54.75" hidden="false" customHeight="true" outlineLevel="0" collapsed="false">
      <c r="A14" s="11" t="s">
        <v>285</v>
      </c>
      <c r="B14" s="11" t="s">
        <v>557</v>
      </c>
      <c r="C14" s="11" t="s">
        <v>558</v>
      </c>
      <c r="D14" s="11" t="s">
        <v>312</v>
      </c>
    </row>
    <row r="15" customFormat="false" ht="54.75" hidden="false" customHeight="true" outlineLevel="0" collapsed="false">
      <c r="A15" s="11" t="s">
        <v>285</v>
      </c>
      <c r="B15" s="11" t="s">
        <v>559</v>
      </c>
      <c r="C15" s="11" t="s">
        <v>560</v>
      </c>
      <c r="D15" s="11" t="s">
        <v>561</v>
      </c>
    </row>
    <row r="16" customFormat="false" ht="54.75" hidden="false" customHeight="true" outlineLevel="0" collapsed="false">
      <c r="A16" s="11" t="s">
        <v>316</v>
      </c>
      <c r="B16" s="11" t="s">
        <v>562</v>
      </c>
      <c r="C16" s="11" t="s">
        <v>563</v>
      </c>
      <c r="D16" s="11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60"/>
    <col collapsed="false" customWidth="true" hidden="false" outlineLevel="0" max="6" min="5" style="1" width="12"/>
    <col collapsed="false" customWidth="true" hidden="false" outlineLevel="0" max="7" min="7" style="1" width="65"/>
  </cols>
  <sheetData>
    <row r="1" customFormat="false" ht="17.35" hidden="false" customHeight="false" outlineLevel="0" collapsed="false">
      <c r="A1" s="18" t="s">
        <v>565</v>
      </c>
      <c r="B1" s="18"/>
      <c r="C1" s="18"/>
      <c r="D1" s="18"/>
      <c r="E1" s="18"/>
      <c r="F1" s="18"/>
      <c r="G1" s="18"/>
    </row>
    <row r="2" customFormat="false" ht="30" hidden="false" customHeight="true" outlineLevel="0" collapsed="false">
      <c r="A2" s="19" t="s">
        <v>566</v>
      </c>
      <c r="B2" s="19"/>
      <c r="C2" s="19"/>
      <c r="D2" s="19"/>
      <c r="E2" s="19"/>
      <c r="F2" s="19"/>
      <c r="G2" s="19"/>
    </row>
    <row r="4" customFormat="false" ht="15" hidden="false" customHeight="false" outlineLevel="0" collapsed="false">
      <c r="A4" s="20" t="s">
        <v>567</v>
      </c>
      <c r="B4" s="20" t="s">
        <v>568</v>
      </c>
      <c r="C4" s="20" t="s">
        <v>569</v>
      </c>
      <c r="D4" s="20" t="s">
        <v>570</v>
      </c>
      <c r="E4" s="20" t="s">
        <v>571</v>
      </c>
      <c r="F4" s="20" t="s">
        <v>572</v>
      </c>
      <c r="G4" s="20" t="s">
        <v>573</v>
      </c>
    </row>
    <row r="5" customFormat="false" ht="37.5" hidden="false" customHeight="true" outlineLevel="0" collapsed="false">
      <c r="A5" s="11" t="s">
        <v>574</v>
      </c>
      <c r="B5" s="11" t="s">
        <v>575</v>
      </c>
      <c r="C5" s="22" t="s">
        <v>576</v>
      </c>
      <c r="D5" s="11" t="s">
        <v>577</v>
      </c>
      <c r="E5" s="11" t="s">
        <v>578</v>
      </c>
      <c r="F5" s="11" t="s">
        <v>494</v>
      </c>
      <c r="G5" s="23" t="s">
        <v>579</v>
      </c>
    </row>
    <row r="6" customFormat="false" ht="37.5" hidden="false" customHeight="true" outlineLevel="0" collapsed="false">
      <c r="A6" s="11" t="s">
        <v>574</v>
      </c>
      <c r="B6" s="11" t="s">
        <v>580</v>
      </c>
      <c r="C6" s="22" t="s">
        <v>576</v>
      </c>
      <c r="D6" s="11" t="s">
        <v>581</v>
      </c>
      <c r="E6" s="11" t="s">
        <v>582</v>
      </c>
      <c r="F6" s="11" t="s">
        <v>583</v>
      </c>
      <c r="G6" s="23" t="s">
        <v>584</v>
      </c>
    </row>
    <row r="7" customFormat="false" ht="37.5" hidden="false" customHeight="true" outlineLevel="0" collapsed="false">
      <c r="A7" s="11" t="s">
        <v>585</v>
      </c>
      <c r="B7" s="11" t="s">
        <v>586</v>
      </c>
      <c r="C7" s="22" t="s">
        <v>576</v>
      </c>
      <c r="D7" s="11" t="s">
        <v>587</v>
      </c>
      <c r="E7" s="11" t="s">
        <v>588</v>
      </c>
      <c r="F7" s="11" t="s">
        <v>589</v>
      </c>
      <c r="G7" s="23" t="s">
        <v>590</v>
      </c>
    </row>
    <row r="8" customFormat="false" ht="37.5" hidden="false" customHeight="true" outlineLevel="0" collapsed="false">
      <c r="A8" s="11" t="s">
        <v>585</v>
      </c>
      <c r="B8" s="11" t="s">
        <v>586</v>
      </c>
      <c r="C8" s="24" t="s">
        <v>591</v>
      </c>
      <c r="D8" s="11" t="s">
        <v>592</v>
      </c>
      <c r="E8" s="11" t="s">
        <v>578</v>
      </c>
      <c r="F8" s="11" t="s">
        <v>593</v>
      </c>
      <c r="G8" s="23" t="s">
        <v>594</v>
      </c>
    </row>
    <row r="9" customFormat="false" ht="37.5" hidden="false" customHeight="true" outlineLevel="0" collapsed="false">
      <c r="A9" s="11" t="s">
        <v>585</v>
      </c>
      <c r="B9" s="11" t="s">
        <v>595</v>
      </c>
      <c r="C9" s="22" t="s">
        <v>576</v>
      </c>
      <c r="D9" s="11" t="s">
        <v>596</v>
      </c>
      <c r="E9" s="11" t="s">
        <v>597</v>
      </c>
      <c r="F9" s="11" t="s">
        <v>494</v>
      </c>
      <c r="G9" s="23" t="s">
        <v>598</v>
      </c>
    </row>
    <row r="10" customFormat="false" ht="37.5" hidden="false" customHeight="true" outlineLevel="0" collapsed="false">
      <c r="A10" s="11" t="s">
        <v>585</v>
      </c>
      <c r="B10" s="11" t="s">
        <v>599</v>
      </c>
      <c r="C10" s="22" t="s">
        <v>576</v>
      </c>
      <c r="D10" s="11" t="s">
        <v>600</v>
      </c>
      <c r="E10" s="11" t="s">
        <v>578</v>
      </c>
      <c r="F10" s="11" t="s">
        <v>601</v>
      </c>
      <c r="G10" s="23" t="s">
        <v>602</v>
      </c>
    </row>
    <row r="11" customFormat="false" ht="37.5" hidden="false" customHeight="true" outlineLevel="0" collapsed="false">
      <c r="A11" s="11" t="s">
        <v>603</v>
      </c>
      <c r="B11" s="11" t="s">
        <v>604</v>
      </c>
      <c r="C11" s="22" t="s">
        <v>576</v>
      </c>
      <c r="D11" s="11" t="s">
        <v>605</v>
      </c>
      <c r="E11" s="11" t="s">
        <v>578</v>
      </c>
      <c r="F11" s="11" t="s">
        <v>593</v>
      </c>
      <c r="G11" s="23" t="s">
        <v>606</v>
      </c>
    </row>
    <row r="12" customFormat="false" ht="37.5" hidden="false" customHeight="true" outlineLevel="0" collapsed="false">
      <c r="A12" s="11" t="s">
        <v>603</v>
      </c>
      <c r="B12" s="11" t="s">
        <v>607</v>
      </c>
      <c r="C12" s="22" t="s">
        <v>576</v>
      </c>
      <c r="D12" s="11" t="s">
        <v>608</v>
      </c>
      <c r="E12" s="11" t="s">
        <v>578</v>
      </c>
      <c r="F12" s="11" t="s">
        <v>583</v>
      </c>
      <c r="G12" s="23" t="s">
        <v>609</v>
      </c>
    </row>
    <row r="13" customFormat="false" ht="37.5" hidden="false" customHeight="true" outlineLevel="0" collapsed="false">
      <c r="A13" s="11" t="s">
        <v>610</v>
      </c>
      <c r="B13" s="11" t="s">
        <v>611</v>
      </c>
      <c r="C13" s="22" t="s">
        <v>576</v>
      </c>
      <c r="D13" s="11" t="s">
        <v>612</v>
      </c>
      <c r="E13" s="11" t="s">
        <v>613</v>
      </c>
      <c r="F13" s="11" t="s">
        <v>614</v>
      </c>
      <c r="G13" s="23" t="s">
        <v>615</v>
      </c>
    </row>
    <row r="14" customFormat="false" ht="37.5" hidden="false" customHeight="true" outlineLevel="0" collapsed="false">
      <c r="A14" s="11" t="s">
        <v>610</v>
      </c>
      <c r="B14" s="11" t="s">
        <v>616</v>
      </c>
      <c r="C14" s="22" t="s">
        <v>576</v>
      </c>
      <c r="D14" s="11" t="s">
        <v>617</v>
      </c>
      <c r="E14" s="11" t="s">
        <v>578</v>
      </c>
      <c r="F14" s="11" t="s">
        <v>601</v>
      </c>
      <c r="G14" s="23" t="s">
        <v>618</v>
      </c>
    </row>
    <row r="15" customFormat="false" ht="37.5" hidden="false" customHeight="true" outlineLevel="0" collapsed="false">
      <c r="A15" s="11" t="s">
        <v>610</v>
      </c>
      <c r="B15" s="11" t="s">
        <v>619</v>
      </c>
      <c r="C15" s="22" t="s">
        <v>576</v>
      </c>
      <c r="D15" s="11" t="s">
        <v>620</v>
      </c>
      <c r="E15" s="11" t="s">
        <v>597</v>
      </c>
      <c r="F15" s="11" t="s">
        <v>478</v>
      </c>
      <c r="G15" s="23" t="s">
        <v>621</v>
      </c>
    </row>
    <row r="16" customFormat="false" ht="37.5" hidden="false" customHeight="true" outlineLevel="0" collapsed="false">
      <c r="A16" s="11" t="s">
        <v>622</v>
      </c>
      <c r="B16" s="11" t="s">
        <v>623</v>
      </c>
      <c r="C16" s="22" t="s">
        <v>576</v>
      </c>
      <c r="D16" s="11" t="s">
        <v>624</v>
      </c>
      <c r="E16" s="11" t="s">
        <v>625</v>
      </c>
      <c r="F16" s="11" t="s">
        <v>626</v>
      </c>
      <c r="G16" s="23" t="s">
        <v>627</v>
      </c>
    </row>
    <row r="17" customFormat="false" ht="37.5" hidden="false" customHeight="true" outlineLevel="0" collapsed="false">
      <c r="A17" s="11" t="s">
        <v>622</v>
      </c>
      <c r="B17" s="11" t="s">
        <v>628</v>
      </c>
      <c r="C17" s="22" t="s">
        <v>576</v>
      </c>
      <c r="D17" s="11" t="s">
        <v>629</v>
      </c>
      <c r="E17" s="11" t="s">
        <v>597</v>
      </c>
      <c r="F17" s="11" t="s">
        <v>494</v>
      </c>
      <c r="G17" s="23" t="s">
        <v>630</v>
      </c>
    </row>
    <row r="18" customFormat="false" ht="37.5" hidden="false" customHeight="true" outlineLevel="0" collapsed="false">
      <c r="A18" s="11" t="s">
        <v>631</v>
      </c>
      <c r="B18" s="11" t="s">
        <v>632</v>
      </c>
      <c r="C18" s="22" t="s">
        <v>576</v>
      </c>
      <c r="D18" s="11" t="s">
        <v>633</v>
      </c>
      <c r="E18" s="11" t="s">
        <v>634</v>
      </c>
      <c r="F18" s="11" t="s">
        <v>494</v>
      </c>
      <c r="G18" s="23" t="s">
        <v>635</v>
      </c>
    </row>
    <row r="19" customFormat="false" ht="37.5" hidden="false" customHeight="true" outlineLevel="0" collapsed="false">
      <c r="A19" s="11" t="s">
        <v>631</v>
      </c>
      <c r="B19" s="11" t="s">
        <v>636</v>
      </c>
      <c r="C19" s="22" t="s">
        <v>576</v>
      </c>
      <c r="D19" s="11" t="s">
        <v>637</v>
      </c>
      <c r="E19" s="11" t="s">
        <v>588</v>
      </c>
      <c r="F19" s="11" t="s">
        <v>593</v>
      </c>
      <c r="G19" s="23" t="s">
        <v>638</v>
      </c>
    </row>
    <row r="20" customFormat="false" ht="37.5" hidden="false" customHeight="true" outlineLevel="0" collapsed="false">
      <c r="A20" s="11" t="s">
        <v>124</v>
      </c>
      <c r="B20" s="11" t="s">
        <v>639</v>
      </c>
      <c r="C20" s="22" t="s">
        <v>576</v>
      </c>
      <c r="D20" s="11" t="s">
        <v>640</v>
      </c>
      <c r="E20" s="11" t="s">
        <v>588</v>
      </c>
      <c r="F20" s="11" t="s">
        <v>589</v>
      </c>
      <c r="G20" s="23" t="s">
        <v>641</v>
      </c>
    </row>
    <row r="21" customFormat="false" ht="37.5" hidden="false" customHeight="true" outlineLevel="0" collapsed="false">
      <c r="A21" s="11" t="s">
        <v>124</v>
      </c>
      <c r="B21" s="11" t="s">
        <v>642</v>
      </c>
      <c r="C21" s="24" t="s">
        <v>591</v>
      </c>
      <c r="D21" s="11" t="s">
        <v>643</v>
      </c>
      <c r="E21" s="11" t="s">
        <v>578</v>
      </c>
      <c r="F21" s="11" t="s">
        <v>644</v>
      </c>
      <c r="G21" s="23" t="s">
        <v>645</v>
      </c>
    </row>
    <row r="22" customFormat="false" ht="37.5" hidden="false" customHeight="true" outlineLevel="0" collapsed="false">
      <c r="A22" s="11" t="s">
        <v>158</v>
      </c>
      <c r="B22" s="11" t="s">
        <v>646</v>
      </c>
      <c r="C22" s="22" t="s">
        <v>576</v>
      </c>
      <c r="D22" s="11" t="s">
        <v>647</v>
      </c>
      <c r="E22" s="11" t="s">
        <v>588</v>
      </c>
      <c r="F22" s="11" t="s">
        <v>648</v>
      </c>
      <c r="G22" s="23" t="s">
        <v>649</v>
      </c>
    </row>
    <row r="23" customFormat="false" ht="37.5" hidden="false" customHeight="true" outlineLevel="0" collapsed="false">
      <c r="A23" s="11" t="s">
        <v>158</v>
      </c>
      <c r="B23" s="11" t="s">
        <v>650</v>
      </c>
      <c r="C23" s="22" t="s">
        <v>576</v>
      </c>
      <c r="D23" s="11" t="s">
        <v>651</v>
      </c>
      <c r="E23" s="11" t="s">
        <v>588</v>
      </c>
      <c r="F23" s="11" t="s">
        <v>583</v>
      </c>
      <c r="G23" s="23" t="s">
        <v>652</v>
      </c>
    </row>
    <row r="24" customFormat="false" ht="37.5" hidden="false" customHeight="true" outlineLevel="0" collapsed="false">
      <c r="A24" s="11" t="s">
        <v>158</v>
      </c>
      <c r="B24" s="11" t="s">
        <v>653</v>
      </c>
      <c r="C24" s="24" t="s">
        <v>591</v>
      </c>
      <c r="D24" s="11" t="s">
        <v>654</v>
      </c>
      <c r="E24" s="11" t="s">
        <v>588</v>
      </c>
      <c r="F24" s="11" t="s">
        <v>583</v>
      </c>
      <c r="G24" s="23" t="s">
        <v>655</v>
      </c>
    </row>
    <row r="25" customFormat="false" ht="37.5" hidden="false" customHeight="true" outlineLevel="0" collapsed="false">
      <c r="A25" s="11" t="s">
        <v>192</v>
      </c>
      <c r="B25" s="11" t="s">
        <v>656</v>
      </c>
      <c r="C25" s="22" t="s">
        <v>576</v>
      </c>
      <c r="D25" s="11" t="s">
        <v>657</v>
      </c>
      <c r="E25" s="11" t="s">
        <v>588</v>
      </c>
      <c r="F25" s="11" t="s">
        <v>648</v>
      </c>
      <c r="G25" s="23" t="s">
        <v>658</v>
      </c>
    </row>
    <row r="26" customFormat="false" ht="37.5" hidden="false" customHeight="true" outlineLevel="0" collapsed="false">
      <c r="A26" s="11" t="s">
        <v>192</v>
      </c>
      <c r="B26" s="11" t="s">
        <v>659</v>
      </c>
      <c r="C26" s="22" t="s">
        <v>576</v>
      </c>
      <c r="D26" s="11" t="s">
        <v>660</v>
      </c>
      <c r="E26" s="11" t="s">
        <v>578</v>
      </c>
      <c r="F26" s="11" t="s">
        <v>478</v>
      </c>
      <c r="G26" s="23" t="s">
        <v>661</v>
      </c>
    </row>
    <row r="27" customFormat="false" ht="37.5" hidden="false" customHeight="true" outlineLevel="0" collapsed="false">
      <c r="A27" s="11" t="s">
        <v>192</v>
      </c>
      <c r="B27" s="11" t="s">
        <v>662</v>
      </c>
      <c r="C27" s="24" t="s">
        <v>591</v>
      </c>
      <c r="D27" s="11" t="s">
        <v>663</v>
      </c>
      <c r="E27" s="11" t="s">
        <v>664</v>
      </c>
      <c r="F27" s="11" t="s">
        <v>494</v>
      </c>
      <c r="G27" s="23" t="s">
        <v>665</v>
      </c>
    </row>
    <row r="28" customFormat="false" ht="37.5" hidden="false" customHeight="true" outlineLevel="0" collapsed="false">
      <c r="A28" s="11" t="s">
        <v>221</v>
      </c>
      <c r="B28" s="11" t="s">
        <v>666</v>
      </c>
      <c r="C28" s="22" t="s">
        <v>576</v>
      </c>
      <c r="D28" s="11" t="s">
        <v>667</v>
      </c>
      <c r="E28" s="11" t="s">
        <v>588</v>
      </c>
      <c r="F28" s="11" t="s">
        <v>589</v>
      </c>
      <c r="G28" s="23" t="s">
        <v>668</v>
      </c>
    </row>
    <row r="29" customFormat="false" ht="37.5" hidden="false" customHeight="true" outlineLevel="0" collapsed="false">
      <c r="A29" s="11" t="s">
        <v>255</v>
      </c>
      <c r="B29" s="11" t="s">
        <v>669</v>
      </c>
      <c r="C29" s="22" t="s">
        <v>576</v>
      </c>
      <c r="D29" s="11" t="s">
        <v>670</v>
      </c>
      <c r="E29" s="11" t="s">
        <v>588</v>
      </c>
      <c r="F29" s="11" t="s">
        <v>614</v>
      </c>
      <c r="G29" s="23" t="s">
        <v>671</v>
      </c>
    </row>
    <row r="30" customFormat="false" ht="37.5" hidden="false" customHeight="true" outlineLevel="0" collapsed="false">
      <c r="A30" s="11" t="s">
        <v>255</v>
      </c>
      <c r="B30" s="11" t="s">
        <v>672</v>
      </c>
      <c r="C30" s="22" t="s">
        <v>576</v>
      </c>
      <c r="D30" s="11" t="s">
        <v>673</v>
      </c>
      <c r="E30" s="11" t="s">
        <v>597</v>
      </c>
      <c r="F30" s="11" t="s">
        <v>583</v>
      </c>
      <c r="G30" s="23" t="s">
        <v>630</v>
      </c>
    </row>
    <row r="31" customFormat="false" ht="37.5" hidden="false" customHeight="true" outlineLevel="0" collapsed="false">
      <c r="A31" s="11" t="s">
        <v>255</v>
      </c>
      <c r="B31" s="11" t="s">
        <v>674</v>
      </c>
      <c r="C31" s="24" t="s">
        <v>591</v>
      </c>
      <c r="D31" s="11" t="s">
        <v>675</v>
      </c>
      <c r="E31" s="11" t="s">
        <v>664</v>
      </c>
      <c r="F31" s="11" t="s">
        <v>494</v>
      </c>
      <c r="G31" s="23" t="s">
        <v>676</v>
      </c>
    </row>
    <row r="32" customFormat="false" ht="37.5" hidden="false" customHeight="true" outlineLevel="0" collapsed="false">
      <c r="A32" s="11" t="s">
        <v>285</v>
      </c>
      <c r="B32" s="11" t="s">
        <v>677</v>
      </c>
      <c r="C32" s="22" t="s">
        <v>576</v>
      </c>
      <c r="D32" s="11" t="s">
        <v>678</v>
      </c>
      <c r="E32" s="11" t="s">
        <v>588</v>
      </c>
      <c r="F32" s="11" t="s">
        <v>589</v>
      </c>
      <c r="G32" s="23" t="s">
        <v>679</v>
      </c>
    </row>
    <row r="33" customFormat="false" ht="37.5" hidden="false" customHeight="true" outlineLevel="0" collapsed="false">
      <c r="A33" s="11" t="s">
        <v>285</v>
      </c>
      <c r="B33" s="11" t="s">
        <v>295</v>
      </c>
      <c r="C33" s="22" t="s">
        <v>576</v>
      </c>
      <c r="D33" s="11" t="s">
        <v>680</v>
      </c>
      <c r="E33" s="11" t="s">
        <v>578</v>
      </c>
      <c r="F33" s="11" t="s">
        <v>593</v>
      </c>
      <c r="G33" s="23" t="s">
        <v>681</v>
      </c>
    </row>
    <row r="34" customFormat="false" ht="37.5" hidden="false" customHeight="true" outlineLevel="0" collapsed="false">
      <c r="A34" s="11" t="s">
        <v>285</v>
      </c>
      <c r="B34" s="11" t="s">
        <v>682</v>
      </c>
      <c r="C34" s="22" t="s">
        <v>576</v>
      </c>
      <c r="D34" s="11" t="s">
        <v>683</v>
      </c>
      <c r="E34" s="11" t="s">
        <v>578</v>
      </c>
      <c r="F34" s="11" t="s">
        <v>494</v>
      </c>
      <c r="G34" s="23" t="s">
        <v>684</v>
      </c>
    </row>
    <row r="35" customFormat="false" ht="37.5" hidden="false" customHeight="true" outlineLevel="0" collapsed="false">
      <c r="A35" s="11" t="s">
        <v>316</v>
      </c>
      <c r="B35" s="11" t="s">
        <v>685</v>
      </c>
      <c r="C35" s="22" t="s">
        <v>576</v>
      </c>
      <c r="D35" s="11" t="s">
        <v>686</v>
      </c>
      <c r="E35" s="11" t="s">
        <v>634</v>
      </c>
      <c r="F35" s="11" t="s">
        <v>494</v>
      </c>
      <c r="G35" s="23" t="s">
        <v>687</v>
      </c>
    </row>
    <row r="36" customFormat="false" ht="37.5" hidden="false" customHeight="true" outlineLevel="0" collapsed="false">
      <c r="A36" s="11" t="s">
        <v>316</v>
      </c>
      <c r="B36" s="11" t="s">
        <v>688</v>
      </c>
      <c r="C36" s="22" t="s">
        <v>576</v>
      </c>
      <c r="D36" s="11" t="s">
        <v>689</v>
      </c>
      <c r="E36" s="11" t="s">
        <v>690</v>
      </c>
      <c r="F36" s="11" t="s">
        <v>494</v>
      </c>
      <c r="G36" s="23" t="s">
        <v>691</v>
      </c>
    </row>
  </sheetData>
  <autoFilter ref="A4:G36"/>
  <mergeCells count="2">
    <mergeCell ref="A1:G1"/>
    <mergeCell ref="A2:G2"/>
  </mergeCells>
  <hyperlinks>
    <hyperlink ref="G5" r:id="rId1" display="https://docs.runpod.io/pods/overview"/>
    <hyperlink ref="G6" r:id="rId2" display="https://ai4bharat.iitm.ac.in/blog"/>
    <hyperlink ref="G7" r:id="rId3" display="https://lectures.scientific-python.org/intro/numpy/index.html"/>
    <hyperlink ref="G8" r:id="rId4" display="https://numpy.org/doc/stable/user/absolute_beginners.html"/>
    <hyperlink ref="G9" r:id="rId5" display="https://realpython.com/jupyter-notebook-introduction/"/>
    <hyperlink ref="G10" r:id="rId6" display="https://docs.astral.sh/uv/getting-started/"/>
    <hyperlink ref="G11" r:id="rId7" display="https://matplotlib.org/stable/tutorials/pyplot.html"/>
    <hyperlink ref="G12" r:id="rId8" display="https://librosa.org/doc/latest/tutorial.html"/>
    <hyperlink ref="G13" r:id="rId9" display="https://writings.stephenwolfram.com/2023/02/what-is-chatgpt-doing-and-why-does-it-work/"/>
    <hyperlink ref="G14" r:id="rId10" display="https://huggingface.co/docs/transformers/tokenizer_summary"/>
    <hyperlink ref="G15" r:id="rId11" display="https://blogs.nvidia.com/blog/whats-the-difference-between-a-cpu-and-a-gpu/"/>
    <hyperlink ref="G16" r:id="rId12" display="https://www.youtube.com/playlist?list=PLZHQObOWTQDNU6R1_67000Dx_ZCJB-3pi"/>
    <hyperlink ref="G17" r:id="rId13" display="https://jalammar.github.io/illustrated-transformer/"/>
    <hyperlink ref="G18" r:id="rId14" display="https://pytorch.org/tutorials/beginner/basics/tensorqs_tutorial.html"/>
    <hyperlink ref="G19" r:id="rId15" display="https://huggingface.co/learn/llm-course/chapter1/3"/>
    <hyperlink ref="G20" r:id="rId16" display="https://huggingface.co/learn/audio-course/chapter1/introduction"/>
    <hyperlink ref="G21" r:id="rId17" display="https://librosa.org/doc/latest/auto_examples/index.html"/>
    <hyperlink ref="G22" r:id="rId18" display="https://huggingface.co/learn/llm-course/chapter2/1"/>
    <hyperlink ref="G23" r:id="rId19" display="https://huggingface.co/learn/audio-course/chapter2/introduction"/>
    <hyperlink ref="G24" r:id="rId20" display="https://huggingface.co/learn/audio-course/chapter3/introduction"/>
    <hyperlink ref="G25" r:id="rId21" display="https://huggingface.co/learn/audio-course/chapter5/introduction"/>
    <hyperlink ref="G26" r:id="rId22" display="https://github.com/jitsi/jiwer"/>
    <hyperlink ref="G27" r:id="rId23" display="https://arxiv.org/abs/2212.04356"/>
    <hyperlink ref="G28" r:id="rId24" display="https://huggingface.co/learn/audio-course/chapter6/introduction"/>
    <hyperlink ref="G29" r:id="rId25" display="https://huggingface.co/learn/llm-course/chapter7/4"/>
    <hyperlink ref="G30" r:id="rId26" display="https://jalammar.github.io/illustrated-transformer/"/>
    <hyperlink ref="G31" r:id="rId27" display="https://arxiv.org/abs/2305.16307"/>
    <hyperlink ref="G32" r:id="rId28" display="https://huggingface.co/learn/audio-course/chapter7/introduction"/>
    <hyperlink ref="G33" r:id="rId29" display="https://www.gradio.app/guides/quickstart"/>
    <hyperlink ref="G34" r:id="rId30" display="https://pytorch.org/docs/stable/notes/cuda.html"/>
    <hyperlink ref="G35" r:id="rId31" display="https://pytorch.org/tutorials/recipes/recipes/profiler_recipe.html"/>
    <hyperlink ref="G36" r:id="rId32" display="https://diataxis.fr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2026-05-11T05:48:40Z</dcterms:created>
  <dc:creator>openpyxl</dc:creator>
  <dc:description/>
  <dc:language>en-US</dc:language>
  <cp:lastModifiedBy/>
  <dcterms:modified xsi:type="dcterms:W3CDTF">2026-05-11T11:36:45Z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