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55" firstSheet="0" activeTab="1" autoFilterDateGrouping="1"/>
  </bookViews>
  <sheets>
    <sheet name="Overview" sheetId="1" state="visible" r:id="rId1"/>
    <sheet name="Tracker" sheetId="2" state="visible" r:id="rId2"/>
    <sheet name="Glossary" sheetId="3" state="visible" r:id="rId3"/>
    <sheet name="Deliverables" sheetId="4" state="visible" r:id="rId4"/>
    <sheet name="Cadence" sheetId="5" state="visible" r:id="rId5"/>
    <sheet name="Success Criteria" sheetId="6" state="visible" r:id="rId6"/>
    <sheet name="Anti-Patterns" sheetId="7" state="visible" r:id="rId7"/>
    <sheet name="Learning Resources" sheetId="8" state="visible" r:id="rId8"/>
  </sheets>
  <definedNames>
    <definedName name="_xlnm._FilterDatabase" localSheetId="1" hidden="1">'Tracker'!$A$1:$J$99</definedName>
    <definedName name="_xlnm._FilterDatabase" localSheetId="2" hidden="1">'Glossary'!$A$4:$D$54</definedName>
    <definedName name="_xlnm._FilterDatabase" localSheetId="7" hidden="1">'Learning Resources'!$A$4:$G$36</definedName>
  </definedNames>
  <calcPr calcId="191028" fullCalcOnLoad="1" iterateDelta="0.0001"/>
</workbook>
</file>

<file path=xl/styles.xml><?xml version="1.0" encoding="utf-8"?>
<styleSheet xmlns="http://schemas.openxmlformats.org/spreadsheetml/2006/main">
  <numFmts count="2">
    <numFmt numFmtId="164" formatCode="0.0%"/>
    <numFmt numFmtId="165" formatCode="yyyy\-mm\-dd"/>
  </numFmts>
  <fonts count="10">
    <font>
      <name val="Calibri"/>
      <charset val="1"/>
      <family val="2"/>
      <color theme="1"/>
      <sz val="11"/>
    </font>
    <font>
      <name val="Arial"/>
      <charset val="1"/>
      <b val="1"/>
      <color rgb="FF1F4E78"/>
      <sz val="16"/>
    </font>
    <font>
      <name val="Arial"/>
      <charset val="1"/>
      <b val="1"/>
      <color rgb="FF000000"/>
      <sz val="10"/>
    </font>
    <font>
      <name val="Arial"/>
      <charset val="1"/>
      <b val="1"/>
      <sz val="10"/>
    </font>
    <font>
      <name val="Arial"/>
      <charset val="1"/>
      <color rgb="FF0000FF"/>
      <sz val="11"/>
    </font>
    <font>
      <name val="Arial"/>
      <charset val="1"/>
      <sz val="10"/>
    </font>
    <font>
      <name val="Arial"/>
      <charset val="1"/>
      <b val="1"/>
      <color rgb="FFFFFFFF"/>
      <sz val="11"/>
    </font>
    <font>
      <name val="Arial"/>
      <charset val="1"/>
      <b val="1"/>
      <color rgb="FF1F4E78"/>
      <sz val="14"/>
    </font>
    <font>
      <name val="Arial"/>
      <charset val="1"/>
      <i val="1"/>
      <sz val="10"/>
    </font>
    <font>
      <name val="Arial"/>
      <charset val="1"/>
      <color rgb="FF0563C1"/>
      <sz val="10"/>
      <u val="single"/>
    </font>
  </fonts>
  <fills count="13">
    <fill>
      <patternFill/>
    </fill>
    <fill>
      <patternFill patternType="gray125"/>
    </fill>
    <fill>
      <patternFill patternType="solid">
        <fgColor rgb="FFD9E1F2"/>
        <bgColor rgb="FFDDEBF7"/>
      </patternFill>
    </fill>
    <fill>
      <patternFill patternType="solid">
        <fgColor rgb="FFFFFF00"/>
        <bgColor rgb="FFFFFF00"/>
      </patternFill>
    </fill>
    <fill>
      <patternFill patternType="solid">
        <fgColor rgb="FF1F4E78"/>
        <bgColor rgb="FF003366"/>
      </patternFill>
    </fill>
    <fill>
      <patternFill patternType="solid">
        <fgColor rgb="FFFCE4D6"/>
        <bgColor rgb="FFFFF2CC"/>
      </patternFill>
    </fill>
    <fill>
      <patternFill patternType="solid">
        <fgColor rgb="FFE2EFDA"/>
        <bgColor rgb="FFEDEDED"/>
      </patternFill>
    </fill>
    <fill>
      <patternFill patternType="solid">
        <fgColor rgb="FFFFF2CC"/>
        <bgColor rgb="FFFCE4D6"/>
      </patternFill>
    </fill>
    <fill>
      <patternFill patternType="solid">
        <fgColor rgb="FFDDEBF7"/>
        <bgColor rgb="FFD9E1F2"/>
      </patternFill>
    </fill>
    <fill>
      <patternFill patternType="solid">
        <fgColor rgb="FFF8CBAD"/>
        <bgColor rgb="FFFFC7CE"/>
      </patternFill>
    </fill>
    <fill>
      <patternFill patternType="solid">
        <fgColor rgb="FFC6EFCE"/>
        <bgColor rgb="FFE2EFDA"/>
      </patternFill>
    </fill>
    <fill>
      <patternFill patternType="solid">
        <fgColor rgb="FFEDEDED"/>
        <bgColor rgb="FFE2EFDA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5" fillId="0" borderId="0" applyAlignment="1" pivotButton="0" quotePrefix="0" xfId="0">
      <alignment horizontal="left" vertical="top" wrapText="1"/>
    </xf>
    <xf numFmtId="0" fontId="3" fillId="0" borderId="0" pivotButton="0" quotePrefix="0" xfId="0"/>
    <xf numFmtId="0" fontId="4" fillId="3" borderId="0" applyAlignment="1" pivotButton="0" quotePrefix="0" xfId="0">
      <alignment horizontal="left" vertical="top" wrapText="1"/>
    </xf>
    <xf numFmtId="0" fontId="5" fillId="0" borderId="0" pivotButton="0" quotePrefix="0" xfId="0"/>
    <xf numFmtId="164" fontId="5" fillId="0" borderId="0" pivotButton="0" quotePrefix="0" xfId="0"/>
    <xf numFmtId="0" fontId="6" fillId="4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top" wrapText="1"/>
    </xf>
    <xf numFmtId="165" fontId="5" fillId="0" borderId="1" applyAlignment="1" pivotButton="0" quotePrefix="0" xfId="0">
      <alignment horizontal="left" vertical="top" wrapText="1"/>
    </xf>
    <xf numFmtId="0" fontId="5" fillId="5" borderId="1" applyAlignment="1" pivotButton="0" quotePrefix="0" xfId="0">
      <alignment horizontal="left" vertical="top" wrapText="1"/>
    </xf>
    <xf numFmtId="0" fontId="5" fillId="6" borderId="1" applyAlignment="1" pivotButton="0" quotePrefix="0" xfId="0">
      <alignment horizontal="left" vertical="top" wrapText="1"/>
    </xf>
    <xf numFmtId="0" fontId="5" fillId="7" borderId="1" applyAlignment="1" pivotButton="0" quotePrefix="0" xfId="0">
      <alignment horizontal="left" vertical="top" wrapText="1"/>
    </xf>
    <xf numFmtId="0" fontId="5" fillId="8" borderId="1" applyAlignment="1" pivotButton="0" quotePrefix="0" xfId="0">
      <alignment horizontal="left" vertical="top" wrapText="1"/>
    </xf>
    <xf numFmtId="0" fontId="5" fillId="9" borderId="1" applyAlignment="1" pivotButton="0" quotePrefix="0" xfId="0">
      <alignment horizontal="left" vertical="top" wrapText="1"/>
    </xf>
    <xf numFmtId="0" fontId="6" fillId="4" borderId="0" applyAlignment="1" pivotButton="0" quotePrefix="0" xfId="0">
      <alignment horizontal="center" vertical="center" wrapText="1"/>
    </xf>
    <xf numFmtId="0" fontId="5" fillId="10" borderId="1" applyAlignment="1" pivotButton="0" quotePrefix="0" xfId="0">
      <alignment horizontal="left" vertical="top" wrapText="1"/>
    </xf>
    <xf numFmtId="0" fontId="9" fillId="0" borderId="1" applyAlignment="1" pivotButton="0" quotePrefix="0" xfId="0">
      <alignment horizontal="left" vertical="top" wrapText="1"/>
    </xf>
    <xf numFmtId="0" fontId="5" fillId="11" borderId="1" applyAlignment="1" pivotButton="0" quotePrefix="0" xfId="0">
      <alignment horizontal="left" vertical="top" wrapText="1"/>
    </xf>
    <xf numFmtId="0" fontId="5" fillId="0" borderId="1" applyAlignment="1" pivotButton="0" quotePrefix="1" xfId="0">
      <alignment horizontal="left" vertical="top" wrapText="1"/>
    </xf>
    <xf numFmtId="0" fontId="5" fillId="12" borderId="1" applyAlignment="1" pivotButton="0" quotePrefix="0" xfId="0">
      <alignment horizontal="left" vertical="top" wrapText="1"/>
    </xf>
    <xf numFmtId="0" fontId="1" fillId="0" borderId="0" pivotButton="0" quotePrefix="0" xfId="0"/>
    <xf numFmtId="0" fontId="2" fillId="2" borderId="0" pivotButton="0" quotePrefix="0" xfId="0"/>
    <xf numFmtId="0" fontId="5" fillId="0" borderId="0" applyAlignment="1" pivotButton="0" quotePrefix="0" xfId="0">
      <alignment horizontal="left" vertical="top" wrapText="1"/>
    </xf>
    <xf numFmtId="0" fontId="7" fillId="0" borderId="0" pivotButton="0" quotePrefix="0" xfId="0"/>
    <xf numFmtId="0" fontId="8" fillId="0" borderId="0" applyAlignment="1" pivotButton="0" quotePrefix="0" xfId="0">
      <alignment horizontal="left" vertical="top" wrapText="1"/>
    </xf>
    <xf numFmtId="0" fontId="5" fillId="0" borderId="0" pivotButton="0" quotePrefix="0" xfId="0"/>
  </cellXfs>
  <cellStyles count="1">
    <cellStyle name="Normal" xfId="0" builtinId="0"/>
  </cellStyles>
  <dxfs count="8">
    <dxf>
      <fill>
        <patternFill>
          <bgColor rgb="FFEDEDED"/>
        </patternFill>
      </fill>
    </dxf>
    <dxf>
      <fill>
        <patternFill>
          <bgColor rgb="FFFFC7CE"/>
        </patternFill>
      </fill>
    </dxf>
    <dxf>
      <fill>
        <patternFill>
          <bgColor rgb="FFFFEB9C"/>
        </patternFill>
      </fill>
    </dxf>
    <dxf>
      <fill>
        <patternFill>
          <bgColor rgb="FFC6EFCE"/>
        </patternFill>
      </fill>
    </dxf>
    <dxf>
      <fill>
        <patternFill>
          <bgColor rgb="FFEDEDED"/>
        </patternFill>
      </fill>
    </dxf>
    <dxf>
      <fill>
        <patternFill>
          <bgColor rgb="FFFFC7CE"/>
        </patternFill>
      </fill>
    </dxf>
    <dxf>
      <fill>
        <patternFill>
          <bgColor rgb="FFFFEB9C"/>
        </patternFill>
      </fill>
    </dxf>
    <dxf>
      <fill>
        <patternFill>
          <bgColor rgb="FFC6EF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DEBF7"/>
      <rgbColor rgb="FF660066"/>
      <rgbColor rgb="FFFF8080"/>
      <rgbColor rgb="FF0563C1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2EFDA"/>
      <rgbColor rgb="FFC6EFCE"/>
      <rgbColor rgb="FFFFEB9C"/>
      <rgbColor rgb="FFEDEDED"/>
      <rgbColor rgb="FFFFC7CE"/>
      <rgbColor rgb="FFFCE4D6"/>
      <rgbColor rgb="FFF8CBAD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8.xml.rels><Relationships xmlns="http://schemas.openxmlformats.org/package/2006/relationships"><Relationship Type="http://schemas.openxmlformats.org/officeDocument/2006/relationships/hyperlink" Target="https://docs.runpod.io/pods/overview" TargetMode="External" Id="rId1" /><Relationship Type="http://schemas.openxmlformats.org/officeDocument/2006/relationships/hyperlink" Target="https://ai4bharat.iitm.ac.in/blog" TargetMode="External" Id="rId2" /><Relationship Type="http://schemas.openxmlformats.org/officeDocument/2006/relationships/hyperlink" Target="https://lectures.scientific-python.org/intro/numpy/index.html" TargetMode="External" Id="rId3" /><Relationship Type="http://schemas.openxmlformats.org/officeDocument/2006/relationships/hyperlink" Target="https://numpy.org/doc/stable/user/absolute_beginners.html" TargetMode="External" Id="rId4" /><Relationship Type="http://schemas.openxmlformats.org/officeDocument/2006/relationships/hyperlink" Target="https://realpython.com/jupyter-notebook-introduction/" TargetMode="External" Id="rId5" /><Relationship Type="http://schemas.openxmlformats.org/officeDocument/2006/relationships/hyperlink" Target="https://docs.astral.sh/uv/getting-started/" TargetMode="External" Id="rId6" /><Relationship Type="http://schemas.openxmlformats.org/officeDocument/2006/relationships/hyperlink" Target="https://matplotlib.org/stable/tutorials/pyplot.html" TargetMode="External" Id="rId7" /><Relationship Type="http://schemas.openxmlformats.org/officeDocument/2006/relationships/hyperlink" Target="https://librosa.org/doc/latest/tutorial.html" TargetMode="External" Id="rId8" /><Relationship Type="http://schemas.openxmlformats.org/officeDocument/2006/relationships/hyperlink" Target="https://writings.stephenwolfram.com/2023/02/what-is-chatgpt-doing-and-why-does-it-work/" TargetMode="External" Id="rId9" /><Relationship Type="http://schemas.openxmlformats.org/officeDocument/2006/relationships/hyperlink" Target="https://huggingface.co/docs/transformers/tokenizer_summary" TargetMode="External" Id="rId10" /><Relationship Type="http://schemas.openxmlformats.org/officeDocument/2006/relationships/hyperlink" Target="https://blogs.nvidia.com/blog/whats-the-difference-between-a-cpu-and-a-gpu/" TargetMode="External" Id="rId11" /><Relationship Type="http://schemas.openxmlformats.org/officeDocument/2006/relationships/hyperlink" Target="https://www.youtube.com/playlist?list=PLZHQObOWTQDNU6R1_67000Dx_ZCJB-3pi" TargetMode="External" Id="rId12" /><Relationship Type="http://schemas.openxmlformats.org/officeDocument/2006/relationships/hyperlink" Target="https://jalammar.github.io/illustrated-transformer/" TargetMode="External" Id="rId13" /><Relationship Type="http://schemas.openxmlformats.org/officeDocument/2006/relationships/hyperlink" Target="https://pytorch.org/tutorials/beginner/basics/tensorqs_tutorial.html" TargetMode="External" Id="rId14" /><Relationship Type="http://schemas.openxmlformats.org/officeDocument/2006/relationships/hyperlink" Target="https://huggingface.co/learn/llm-course/chapter1/3" TargetMode="External" Id="rId15" /><Relationship Type="http://schemas.openxmlformats.org/officeDocument/2006/relationships/hyperlink" Target="https://huggingface.co/learn/audio-course/chapter1/introduction" TargetMode="External" Id="rId16" /><Relationship Type="http://schemas.openxmlformats.org/officeDocument/2006/relationships/hyperlink" Target="https://librosa.org/doc/latest/auto_examples/index.html" TargetMode="External" Id="rId17" /><Relationship Type="http://schemas.openxmlformats.org/officeDocument/2006/relationships/hyperlink" Target="https://huggingface.co/learn/llm-course/chapter2/1" TargetMode="External" Id="rId18" /><Relationship Type="http://schemas.openxmlformats.org/officeDocument/2006/relationships/hyperlink" Target="https://huggingface.co/learn/audio-course/chapter2/introduction" TargetMode="External" Id="rId19" /><Relationship Type="http://schemas.openxmlformats.org/officeDocument/2006/relationships/hyperlink" Target="https://huggingface.co/learn/audio-course/chapter3/introduction" TargetMode="External" Id="rId20" /><Relationship Type="http://schemas.openxmlformats.org/officeDocument/2006/relationships/hyperlink" Target="https://huggingface.co/learn/audio-course/chapter5/introduction" TargetMode="External" Id="rId21" /><Relationship Type="http://schemas.openxmlformats.org/officeDocument/2006/relationships/hyperlink" Target="https://github.com/jitsi/jiwer" TargetMode="External" Id="rId22" /><Relationship Type="http://schemas.openxmlformats.org/officeDocument/2006/relationships/hyperlink" Target="https://arxiv.org/abs/2212.04356" TargetMode="External" Id="rId23" /><Relationship Type="http://schemas.openxmlformats.org/officeDocument/2006/relationships/hyperlink" Target="https://huggingface.co/learn/audio-course/chapter6/introduction" TargetMode="External" Id="rId24" /><Relationship Type="http://schemas.openxmlformats.org/officeDocument/2006/relationships/hyperlink" Target="https://huggingface.co/learn/llm-course/chapter7/4" TargetMode="External" Id="rId25" /><Relationship Type="http://schemas.openxmlformats.org/officeDocument/2006/relationships/hyperlink" Target="https://jalammar.github.io/illustrated-transformer/" TargetMode="External" Id="rId26" /><Relationship Type="http://schemas.openxmlformats.org/officeDocument/2006/relationships/hyperlink" Target="https://arxiv.org/abs/2305.16307" TargetMode="External" Id="rId27" /><Relationship Type="http://schemas.openxmlformats.org/officeDocument/2006/relationships/hyperlink" Target="https://huggingface.co/learn/audio-course/chapter7/introduction" TargetMode="External" Id="rId28" /><Relationship Type="http://schemas.openxmlformats.org/officeDocument/2006/relationships/hyperlink" Target="https://www.gradio.app/guides/quickstart" TargetMode="External" Id="rId29" /><Relationship Type="http://schemas.openxmlformats.org/officeDocument/2006/relationships/hyperlink" Target="https://pytorch.org/docs/stable/notes/cuda.html" TargetMode="External" Id="rId30" /><Relationship Type="http://schemas.openxmlformats.org/officeDocument/2006/relationships/hyperlink" Target="https://pytorch.org/tutorials/recipes/recipes/profiler_recipe.html" TargetMode="External" Id="rId31" /><Relationship Type="http://schemas.openxmlformats.org/officeDocument/2006/relationships/hyperlink" Target="https://diataxis.fr/" TargetMode="External" Id="rId3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zoomScale="90" zoomScaleNormal="90" workbookViewId="0">
      <selection activeCell="A1" sqref="A1:D1"/>
    </sheetView>
  </sheetViews>
  <sheetFormatPr baseColWidth="8" defaultColWidth="8.6640625" defaultRowHeight="14.4"/>
  <cols>
    <col width="30" customWidth="1" min="1" max="1"/>
    <col width="42" customWidth="1" min="2" max="2"/>
    <col width="16" customWidth="1" min="3" max="4"/>
  </cols>
  <sheetData>
    <row r="1" ht="21" customHeight="1">
      <c r="A1" s="20" t="inlineStr">
        <is>
          <t>BharatGen Speech Translation Intern Plan (8 weeks)</t>
        </is>
      </c>
    </row>
    <row r="3">
      <c r="A3" s="21" t="inlineStr">
        <is>
          <t>Project Setup</t>
        </is>
      </c>
    </row>
    <row r="4">
      <c r="A4" s="2" t="inlineStr">
        <is>
          <t>Intern name</t>
        </is>
      </c>
      <c r="B4" s="3" t="inlineStr">
        <is>
          <t>&lt;fill in&gt;</t>
        </is>
      </c>
    </row>
    <row r="5">
      <c r="A5" s="2" t="inlineStr">
        <is>
          <t>Mentor name</t>
        </is>
      </c>
      <c r="B5" s="3" t="inlineStr">
        <is>
          <t>&lt;fill in&gt;</t>
        </is>
      </c>
    </row>
    <row r="6">
      <c r="A6" s="2" t="inlineStr">
        <is>
          <t>Start date (Week 0 Day 1)</t>
        </is>
      </c>
      <c r="B6" s="3" t="inlineStr">
        <is>
          <t>&lt;YYYY-MM-DD&gt;</t>
        </is>
      </c>
    </row>
    <row r="7">
      <c r="A7" s="2" t="inlineStr">
        <is>
          <t>End date (computed)</t>
        </is>
      </c>
      <c r="B7" s="22">
        <f>IF(ISNUMBER(B6),B6+55,"set start date")</f>
        <v/>
      </c>
    </row>
    <row r="8">
      <c r="A8" s="2" t="inlineStr">
        <is>
          <t>Repo URL</t>
        </is>
      </c>
      <c r="B8" s="3" t="inlineStr">
        <is>
          <t>&lt;fill in&gt;</t>
        </is>
      </c>
    </row>
    <row r="9" ht="27.6" customHeight="1">
      <c r="A9" s="2" t="inlineStr">
        <is>
          <t>GPU environment</t>
        </is>
      </c>
      <c r="B9" s="3" t="inlineStr">
        <is>
          <t>RunPod (RTX 4090 or A40, persistent volume)</t>
        </is>
      </c>
    </row>
    <row r="10">
      <c r="A10" s="2" t="inlineStr">
        <is>
          <t>HF token configured?</t>
        </is>
      </c>
      <c r="B10" s="3" t="inlineStr">
        <is>
          <t>No</t>
        </is>
      </c>
    </row>
    <row r="12">
      <c r="A12" s="21" t="inlineStr">
        <is>
          <t>End state</t>
        </is>
      </c>
    </row>
    <row r="13" ht="15" customHeight="1">
      <c r="A13" s="22" t="inlineStr">
        <is>
          <t>Working STT → Translate → TTS demo using BharatGen Shrutam-2 + AI4Bharat IndicTrans2 + BharatGen Sooktam-2, with a handoff package that lets the next intern start at Week 6, not Week 0. Week 0 is a 5-day Python+ML bootstrap; Weeks 1–7 are the working project.</t>
        </is>
      </c>
    </row>
    <row r="14"/>
    <row r="16">
      <c r="A16" s="21" t="inlineStr">
        <is>
          <t>Status summary (auto)</t>
        </is>
      </c>
    </row>
    <row r="17">
      <c r="A17" s="2" t="inlineStr">
        <is>
          <t>Total items</t>
        </is>
      </c>
      <c r="B17" s="25" t="n">
        <v>98</v>
      </c>
    </row>
    <row r="18">
      <c r="A18" s="2" t="inlineStr">
        <is>
          <t>Done</t>
        </is>
      </c>
      <c r="B18" s="25" t="n">
        <v>29</v>
      </c>
    </row>
    <row r="19">
      <c r="A19" s="2" t="inlineStr">
        <is>
          <t>In Progress</t>
        </is>
      </c>
      <c r="B19" s="25" t="n">
        <v>0</v>
      </c>
    </row>
    <row r="20">
      <c r="A20" s="2" t="inlineStr">
        <is>
          <t>Blocked</t>
        </is>
      </c>
      <c r="B20" s="25" t="n">
        <v>0</v>
      </c>
    </row>
    <row r="21">
      <c r="A21" s="2" t="inlineStr">
        <is>
          <t>Not Started</t>
        </is>
      </c>
      <c r="B21" s="25" t="n">
        <v>69</v>
      </c>
    </row>
    <row r="22">
      <c r="A22" s="2" t="inlineStr">
        <is>
          <t>% Complete</t>
        </is>
      </c>
      <c r="B22" s="5" t="n">
        <v>0.2959183673469388</v>
      </c>
    </row>
  </sheetData>
  <mergeCells count="5">
    <mergeCell ref="A1:D1"/>
    <mergeCell ref="A12:D12"/>
    <mergeCell ref="A3:D3"/>
    <mergeCell ref="A13:D14"/>
    <mergeCell ref="A16:D16"/>
  </mergeCells>
  <pageMargins left="0.75" right="0.75" top="1" bottom="1" header="0.511811023622047" footer="0.511811023622047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99"/>
  <sheetViews>
    <sheetView tabSelected="1" zoomScale="96" zoomScaleNormal="90" workbookViewId="0">
      <pane ySplit="1" topLeftCell="A28" activePane="bottomLeft" state="frozen"/>
      <selection pane="bottomLeft" activeCell="F31" sqref="F31"/>
    </sheetView>
  </sheetViews>
  <sheetFormatPr baseColWidth="8" defaultColWidth="8.6640625" defaultRowHeight="14.4"/>
  <cols>
    <col width="9" customWidth="1" min="1" max="1"/>
    <col width="12" customWidth="1" min="2" max="2"/>
    <col width="13" customWidth="1" min="3" max="3"/>
    <col width="30" customWidth="1" min="4" max="4"/>
    <col width="50" customWidth="1" min="5" max="5"/>
    <col width="55" customWidth="1" min="6" max="6"/>
    <col width="10" customWidth="1" min="7" max="7"/>
    <col width="14" customWidth="1" min="8" max="8"/>
    <col width="24" customWidth="1" min="9" max="10"/>
  </cols>
  <sheetData>
    <row r="1" ht="31.5" customHeight="1">
      <c r="A1" s="6" t="inlineStr">
        <is>
          <t>Week</t>
        </is>
      </c>
      <c r="B1" s="6" t="inlineStr">
        <is>
          <t>Week Start</t>
        </is>
      </c>
      <c r="C1" s="6" t="inlineStr">
        <is>
          <t>Section</t>
        </is>
      </c>
      <c r="D1" s="6" t="inlineStr">
        <is>
          <t>Item</t>
        </is>
      </c>
      <c r="E1" s="6" t="inlineStr">
        <is>
          <t>Description</t>
        </is>
      </c>
      <c r="F1" s="6" t="inlineStr">
        <is>
          <t>Rationale (why this is here)</t>
        </is>
      </c>
      <c r="G1" s="6" t="inlineStr">
        <is>
          <t>Owner</t>
        </is>
      </c>
      <c r="H1" s="6" t="inlineStr">
        <is>
          <t>Status</t>
        </is>
      </c>
      <c r="I1" s="6" t="inlineStr">
        <is>
          <t>Evidence / Link</t>
        </is>
      </c>
      <c r="J1" s="6" t="inlineStr">
        <is>
          <t>Notes</t>
        </is>
      </c>
    </row>
    <row r="2" ht="61.5" customHeight="1">
      <c r="A2" s="7" t="inlineStr">
        <is>
          <t>Week 0</t>
        </is>
      </c>
      <c r="B2" s="8">
        <f>IF(ISNUMBER(Overview!B6),Overview!B6+0,"")</f>
        <v/>
      </c>
      <c r="C2" s="9" t="inlineStr">
        <is>
          <t>Setup</t>
        </is>
      </c>
      <c r="D2" s="7" t="inlineStr">
        <is>
          <t>HF account + accept gating</t>
        </is>
      </c>
      <c r="E2" s="7" t="inlineStr">
        <is>
          <t>Create HF account; accept terms on bharatgenai/Shrutam-2, bharatgenai/sooktam2, ai4bharat/indictrans2-indic-en-1B and en-indic-1B. Generate access token; set HF_TOKEN env var. Async, before Day 1.</t>
        </is>
      </c>
      <c r="F2" s="7" t="inlineStr">
        <is>
          <t>All three target models are gated or trust_remote_code. Token must be live before Day 1 or first model load fails.</t>
        </is>
      </c>
      <c r="G2" s="7" t="inlineStr">
        <is>
          <t>Intern</t>
        </is>
      </c>
      <c r="H2" s="7" t="inlineStr">
        <is>
          <t>Done</t>
        </is>
      </c>
      <c r="I2" s="7" t="n"/>
      <c r="J2" s="7" t="n"/>
    </row>
    <row r="3" ht="87.59999999999999" customHeight="1">
      <c r="A3" s="7" t="inlineStr">
        <is>
          <t>Week 0</t>
        </is>
      </c>
      <c r="B3" s="8">
        <f>IF(ISNUMBER(Overview!B6),Overview!B6+0,"")</f>
        <v/>
      </c>
      <c r="C3" s="9" t="inlineStr">
        <is>
          <t>Setup</t>
        </is>
      </c>
      <c r="D3" s="7" t="inlineStr">
        <is>
          <t>RunPod pod + persistent volume</t>
        </is>
      </c>
      <c r="E3" s="7" t="inlineStr">
        <is>
          <t>Create RunPod account. Spin up a Pod with persistent volume attached (recommend 80-100 GB to fit HF cache for all 3 models + datasets). GPU template: RTX 4090 (24 GB, cheaper) or A40 (48 GB, headroom for Week 6 multi-model). Note: pod ID, volume ID, GPU type chosen — documented in repo README.</t>
        </is>
      </c>
      <c r="F3" s="7" t="inlineStr">
        <is>
          <t>Inference benchmarks are meaningful only against a fixed environment. Pod + GPU template should not change across weeks. Persistent volume so models survive pod restarts (otherwise re-downloading IndicTrans2-1B + Shrutam-2 + Sooktam-2 every cold start wastes 30+ min).</t>
        </is>
      </c>
      <c r="G3" s="7" t="inlineStr">
        <is>
          <t>Mentor</t>
        </is>
      </c>
      <c r="H3" s="7" t="inlineStr">
        <is>
          <t>Done</t>
        </is>
      </c>
      <c r="I3" s="7" t="n"/>
      <c r="J3" s="7" t="inlineStr">
        <is>
          <t>Account created, pod will be created when required since it consumes credits</t>
        </is>
      </c>
    </row>
    <row r="4" ht="61.5" customHeight="1">
      <c r="A4" s="7" t="inlineStr">
        <is>
          <t>Week 0</t>
        </is>
      </c>
      <c r="B4" s="8">
        <f>IF(ISNUMBER(Overview!B6),Overview!B6+0,"")</f>
        <v/>
      </c>
      <c r="C4" s="9" t="inlineStr">
        <is>
          <t>Setup</t>
        </is>
      </c>
      <c r="D4" s="7" t="inlineStr">
        <is>
          <t>HF cache on persistent volume</t>
        </is>
      </c>
      <c r="E4" s="7" t="inlineStr">
        <is>
          <t>On the Pod: `export HF_HOME=/workspace/.cache/huggingface` (or whatever the mount path is). Add to ~/.bashrc. Verify by loading a tiny model and checking the file lands on the persistent volume.</t>
        </is>
      </c>
      <c r="F4" s="7" t="inlineStr">
        <is>
          <t>Default HF cache lives in container ephemeral storage — wiped on pod restart. Pointing HF_HOME at the volume means model downloads are one-time. This single line saves ~5 hours over the internship.</t>
        </is>
      </c>
      <c r="G4" s="7" t="inlineStr">
        <is>
          <t>Intern</t>
        </is>
      </c>
      <c r="H4" s="7" t="inlineStr">
        <is>
          <t>Not Started</t>
        </is>
      </c>
      <c r="I4" s="7" t="n"/>
      <c r="J4" s="7" t="n"/>
    </row>
    <row r="5" ht="61.5" customHeight="1">
      <c r="A5" s="7" t="inlineStr">
        <is>
          <t>Week 0</t>
        </is>
      </c>
      <c r="B5" s="8">
        <f>IF(ISNUMBER(Overview!B6),Overview!B6+0,"")</f>
        <v/>
      </c>
      <c r="C5" s="9" t="inlineStr">
        <is>
          <t>Setup</t>
        </is>
      </c>
      <c r="D5" s="7" t="inlineStr">
        <is>
          <t>Repo created</t>
        </is>
      </c>
      <c r="E5" s="7" t="inlineStr">
        <is>
          <t>Create `bharatgen-speech-intern-2026` with week0/ through week7/ folders. Branch protection so reviews are mandatory.</t>
        </is>
      </c>
      <c r="F5" s="7" t="inlineStr">
        <is>
          <t>Weekly commits make progress visible asynchronously. Removes the 'I lost my notebook' failure mode.</t>
        </is>
      </c>
      <c r="G5" s="7" t="inlineStr">
        <is>
          <t>Mentor</t>
        </is>
      </c>
      <c r="H5" s="7" t="inlineStr">
        <is>
          <t>Done</t>
        </is>
      </c>
      <c r="I5" s="7" t="n"/>
      <c r="J5" s="7" t="n"/>
    </row>
    <row r="6" ht="61.5" customHeight="1">
      <c r="A6" s="7" t="inlineStr">
        <is>
          <t>Week 0</t>
        </is>
      </c>
      <c r="B6" s="8">
        <f>IF(ISNUMBER(Overview!B6),Overview!B6+0,"")</f>
        <v/>
      </c>
      <c r="C6" s="9" t="inlineStr">
        <is>
          <t>Setup</t>
        </is>
      </c>
      <c r="D6" s="7" t="inlineStr">
        <is>
          <t>Tooling installed</t>
        </is>
      </c>
      <c r="E6" s="7" t="inlineStr">
        <is>
          <t>Python 3.10, conda or uv, VS Code with Python + Jupyter extensions, ffmpeg, jupyter lab.</t>
        </is>
      </c>
      <c r="F6" s="7" t="inlineStr">
        <is>
          <t>ffmpeg is a hidden dependency for librosa/torchaudio/soundfile. Installing on Day 0 avoids a Day-1 audio-loading bug that looks unrelated.</t>
        </is>
      </c>
      <c r="G6" s="7" t="inlineStr">
        <is>
          <t>Intern</t>
        </is>
      </c>
      <c r="H6" s="7" t="inlineStr">
        <is>
          <t>Done</t>
        </is>
      </c>
      <c r="I6" s="7" t="n"/>
      <c r="J6" s="7" t="n"/>
    </row>
    <row r="7" ht="61.5" customHeight="1">
      <c r="A7" s="7" t="inlineStr">
        <is>
          <t>Week 0</t>
        </is>
      </c>
      <c r="B7" s="8">
        <f>IF(ISNUMBER(Overview!B6),Overview!B6+0,"")</f>
        <v/>
      </c>
      <c r="C7" s="9" t="inlineStr">
        <is>
          <t>Setup</t>
        </is>
      </c>
      <c r="D7" s="7" t="inlineStr">
        <is>
          <t>Pre-reading (&lt;=3 hours)</t>
        </is>
      </c>
      <c r="E7" s="7" t="inlineStr">
        <is>
          <t>AI4Bharat blog post on IndicTTS/IndicASR. Skim Shrutam-2 + Sooktam-2 model cards. No notes required.</t>
        </is>
      </c>
      <c r="F7" s="7" t="inlineStr">
        <is>
          <t>Builds vocabulary exposure so Day 3 concepts have anchor points. Retention is not the goal here.</t>
        </is>
      </c>
      <c r="G7" s="7" t="inlineStr">
        <is>
          <t>Intern</t>
        </is>
      </c>
      <c r="H7" s="7" t="inlineStr">
        <is>
          <t>Done</t>
        </is>
      </c>
      <c r="I7" s="7" t="n"/>
      <c r="J7" s="7" t="inlineStr">
        <is>
          <t>Mark Done at end of Week 0 — vocabulary surfaces correctly in reflection.md (attention, transformers)</t>
        </is>
      </c>
    </row>
    <row r="8" ht="61.5" customHeight="1">
      <c r="A8" s="7" t="inlineStr">
        <is>
          <t>Week 0</t>
        </is>
      </c>
      <c r="B8" s="8">
        <f>IF(ISNUMBER(Overview!B6),Overview!B6+0,"")</f>
        <v/>
      </c>
      <c r="C8" s="10" t="inlineStr">
        <is>
          <t>Concept</t>
        </is>
      </c>
      <c r="D8" s="7" t="inlineStr">
        <is>
          <t>Day 1: numpy - arrays, shape, dtype, broadcasting</t>
        </is>
      </c>
      <c r="E8" s="7" t="inlineStr">
        <is>
          <t>How arrays differ from Python lists. What .shape and .dtype mean. Broadcasting rules: when do (3,1) and (1,4) combine to (3,4).</t>
        </is>
      </c>
      <c r="F8" s="7" t="inlineStr">
        <is>
          <t>PyTorch tensors are numpy arrays + GPU + autograd. Master numpy first; PyTorch then feels 30% new, not 100% new.</t>
        </is>
      </c>
      <c r="G8" s="7" t="inlineStr">
        <is>
          <t>Intern</t>
        </is>
      </c>
      <c r="H8" s="7" t="inlineStr">
        <is>
          <t>Done</t>
        </is>
      </c>
      <c r="I8" s="7" t="n"/>
      <c r="J8" s="7" t="n"/>
    </row>
    <row r="9" ht="61.5" customHeight="1">
      <c r="A9" s="7" t="inlineStr">
        <is>
          <t>Week 0</t>
        </is>
      </c>
      <c r="B9" s="8">
        <f>IF(ISNUMBER(Overview!B6),Overview!B6+0,"")</f>
        <v/>
      </c>
      <c r="C9" s="10" t="inlineStr">
        <is>
          <t>Concept</t>
        </is>
      </c>
      <c r="D9" s="7" t="inlineStr">
        <is>
          <t>Day 1: Jupyter cells, kernels, magics</t>
        </is>
      </c>
      <c r="E9" s="7" t="inlineStr">
        <is>
          <t>Cell execution order, kernel state, %time, %matplotlib inline. Why notebooks for exploration, scripts for production.</t>
        </is>
      </c>
      <c r="F9" s="7" t="inlineStr">
        <is>
          <t>ML work lives in notebooks. Notebook mental model is different from script mental model — hidden kernel state causes 'works for me' bugs.</t>
        </is>
      </c>
      <c r="G9" s="7" t="inlineStr">
        <is>
          <t>Intern</t>
        </is>
      </c>
      <c r="H9" s="7" t="inlineStr">
        <is>
          <t>Done</t>
        </is>
      </c>
      <c r="I9" s="7" t="n"/>
      <c r="J9" s="7" t="n"/>
    </row>
    <row r="10" ht="61.5" customHeight="1">
      <c r="A10" s="7" t="inlineStr">
        <is>
          <t>Week 0</t>
        </is>
      </c>
      <c r="B10" s="8">
        <f>IF(ISNUMBER(Overview!B6),Overview!B6+0,"")</f>
        <v/>
      </c>
      <c r="C10" s="11" t="inlineStr">
        <is>
          <t>Hands-on</t>
        </is>
      </c>
      <c r="D10" s="7" t="inlineStr">
        <is>
          <t>Day 1: numpy exercises</t>
        </is>
      </c>
      <c r="E10" s="7" t="inlineStr">
        <is>
          <t>Create arrays, slice, broadcast, dot product, reshape. 10 small exercises. Write down what .shape will be BEFORE running each cell.</t>
        </is>
      </c>
      <c r="F10" s="7" t="inlineStr">
        <is>
          <t>Predicting shape before running is the discipline that prevents 80% of 'shape mismatch' bugs later.</t>
        </is>
      </c>
      <c r="G10" s="7" t="inlineStr">
        <is>
          <t>Intern</t>
        </is>
      </c>
      <c r="H10" s="7" t="inlineStr">
        <is>
          <t>Done</t>
        </is>
      </c>
      <c r="I10" s="7" t="n"/>
      <c r="J10" s="7" t="n"/>
    </row>
    <row r="11" ht="61.5" customHeight="1">
      <c r="A11" s="7" t="inlineStr">
        <is>
          <t>Week 0</t>
        </is>
      </c>
      <c r="B11" s="8">
        <f>IF(ISNUMBER(Overview!B6),Overview!B6+0,"")</f>
        <v/>
      </c>
      <c r="C11" s="11" t="inlineStr">
        <is>
          <t>Hands-on</t>
        </is>
      </c>
      <c r="D11" s="7" t="inlineStr">
        <is>
          <t>Day 1: venv + requirements.txt comfort</t>
        </is>
      </c>
      <c r="E11" s="7" t="inlineStr">
        <is>
          <t>Create a fresh venv with uv or conda, install numpy/matplotlib/jupyter, freeze a requirements.txt.</t>
        </is>
      </c>
      <c r="F11" s="7" t="inlineStr">
        <is>
          <t>Every later week installs more packages. Environment hygiene now prevents 'it worked yesterday' problems in Week 4.</t>
        </is>
      </c>
      <c r="G11" s="7" t="inlineStr">
        <is>
          <t>Intern</t>
        </is>
      </c>
      <c r="H11" s="7" t="inlineStr">
        <is>
          <t>Done</t>
        </is>
      </c>
      <c r="I11" s="7" t="n"/>
      <c r="J11" s="7" t="n"/>
    </row>
    <row r="12" ht="61.5" customHeight="1">
      <c r="A12" s="7" t="inlineStr">
        <is>
          <t>Week 0</t>
        </is>
      </c>
      <c r="B12" s="8">
        <f>IF(ISNUMBER(Overview!B6),Overview!B6+0,"")</f>
        <v/>
      </c>
      <c r="C12" s="10" t="inlineStr">
        <is>
          <t>Concept</t>
        </is>
      </c>
      <c r="D12" s="7" t="inlineStr">
        <is>
          <t>Day 2: matplotlib pyplot basics</t>
        </is>
      </c>
      <c r="E12" s="7" t="inlineStr">
        <is>
          <t>fig, ax = plt.subplots(). plot(), scatter(), hist(), set_xlabel/set_ylabel/set_title.</t>
        </is>
      </c>
      <c r="F12" s="7" t="inlineStr">
        <is>
          <t>Every week involves plotting something. Familiarity removes a recurring friction point.</t>
        </is>
      </c>
      <c r="G12" s="7" t="inlineStr">
        <is>
          <t>Intern</t>
        </is>
      </c>
      <c r="H12" s="7" t="inlineStr">
        <is>
          <t>Done</t>
        </is>
      </c>
      <c r="I12" s="7" t="n"/>
      <c r="J12" s="7" t="n"/>
    </row>
    <row r="13" ht="61.5" customHeight="1">
      <c r="A13" s="7" t="inlineStr">
        <is>
          <t>Week 0</t>
        </is>
      </c>
      <c r="B13" s="8">
        <f>IF(ISNUMBER(Overview!B6),Overview!B6+0,"")</f>
        <v/>
      </c>
      <c r="C13" s="11" t="inlineStr">
        <is>
          <t>Hands-on</t>
        </is>
      </c>
      <c r="D13" s="7" t="inlineStr">
        <is>
          <t>Day 2: three plot types</t>
        </is>
      </c>
      <c r="E13" s="7" t="inlineStr">
        <is>
          <t>Plot a sine wave, a 1000-sample Gaussian histogram, a scatter of two correlated variables. Each plot labeled.</t>
        </is>
      </c>
      <c r="F13" s="7" t="inlineStr">
        <is>
          <t>Three plot types cover ~80% of what he'll plot. Practiced once, available always.</t>
        </is>
      </c>
      <c r="G13" s="7" t="inlineStr">
        <is>
          <t>Intern</t>
        </is>
      </c>
      <c r="H13" s="7" t="inlineStr">
        <is>
          <t>Done</t>
        </is>
      </c>
      <c r="I13" s="7" t="n"/>
      <c r="J13" s="7" t="n"/>
    </row>
    <row r="14" ht="61.5" customHeight="1">
      <c r="A14" s="7" t="inlineStr">
        <is>
          <t>Week 0</t>
        </is>
      </c>
      <c r="B14" s="8">
        <f>IF(ISNUMBER(Overview!B6),Overview!B6+0,"")</f>
        <v/>
      </c>
      <c r="C14" s="11" t="inlineStr">
        <is>
          <t>Hands-on</t>
        </is>
      </c>
      <c r="D14" s="7" t="inlineStr">
        <is>
          <t>Day 2: read one library doc page end-to-end</t>
        </is>
      </c>
      <c r="E14" s="7" t="inlineStr">
        <is>
          <t>librosa 'Core IO and DSP' page. Read every section. Try one example from each.</t>
        </is>
      </c>
      <c r="F14" s="7" t="inlineStr">
        <is>
          <t>Reading docs is THE skill. Practicing it on a library he'll use next week is dual-purpose.</t>
        </is>
      </c>
      <c r="G14" s="7" t="inlineStr">
        <is>
          <t>Intern</t>
        </is>
      </c>
      <c r="H14" s="7" t="inlineStr">
        <is>
          <t>Done</t>
        </is>
      </c>
      <c r="I14" s="7" t="n"/>
      <c r="J14" s="7" t="n"/>
    </row>
    <row r="15" ht="61.5" customHeight="1">
      <c r="A15" s="7" t="inlineStr">
        <is>
          <t>Week 0</t>
        </is>
      </c>
      <c r="B15" s="8">
        <f>IF(ISNUMBER(Overview!B6),Overview!B6+0,"")</f>
        <v/>
      </c>
      <c r="C15" s="10" t="inlineStr">
        <is>
          <t>Concept</t>
        </is>
      </c>
      <c r="D15" s="7" t="inlineStr">
        <is>
          <t>Day 3: what is a 'model' in ML</t>
        </is>
      </c>
      <c r="E15" s="7" t="inlineStr">
        <is>
          <t>A function with learned parameters. Input -&gt; some math -&gt; output. That's it for now. We won't train any — only run pre-trained ones.</t>
        </is>
      </c>
      <c r="F15" s="7" t="inlineStr">
        <is>
          <t>Demystifies the word. Removes the 'how does it learn' anxiety which is not Week 0's problem.</t>
        </is>
      </c>
      <c r="G15" s="7" t="inlineStr">
        <is>
          <t>Intern</t>
        </is>
      </c>
      <c r="H15" s="7" t="inlineStr">
        <is>
          <t>Done</t>
        </is>
      </c>
      <c r="I15" s="7" t="n"/>
      <c r="J15" s="7" t="n"/>
    </row>
    <row r="16" ht="61.5" customHeight="1">
      <c r="A16" s="7" t="inlineStr">
        <is>
          <t>Week 0</t>
        </is>
      </c>
      <c r="B16" s="8">
        <f>IF(ISNUMBER(Overview!B6),Overview!B6+0,"")</f>
        <v/>
      </c>
      <c r="C16" s="10" t="inlineStr">
        <is>
          <t>Concept</t>
        </is>
      </c>
      <c r="D16" s="7" t="inlineStr">
        <is>
          <t>Day 3: what is a tensor (vs numpy array)</t>
        </is>
      </c>
      <c r="E16" s="7" t="inlineStr">
        <is>
          <t>Same data structure (n-dim array of numbers), but: lives on GPU, tracks gradients (we won't use this in inference). For our purposes: numpy array on a graphics card.</t>
        </is>
      </c>
      <c r="F16" s="7" t="inlineStr">
        <is>
          <t>90% of 'PyTorch feels hard' is this conceptual confusion. Naming and dismissing it early saves a week.</t>
        </is>
      </c>
      <c r="G16" s="7" t="inlineStr">
        <is>
          <t>Intern</t>
        </is>
      </c>
      <c r="H16" s="7" t="inlineStr">
        <is>
          <t>Done</t>
        </is>
      </c>
      <c r="I16" s="7" t="n"/>
      <c r="J16" s="7" t="n"/>
    </row>
    <row r="17" ht="61.5" customHeight="1">
      <c r="A17" s="7" t="inlineStr">
        <is>
          <t>Week 0</t>
        </is>
      </c>
      <c r="B17" s="8">
        <f>IF(ISNUMBER(Overview!B6),Overview!B6+0,"")</f>
        <v/>
      </c>
      <c r="C17" s="10" t="inlineStr">
        <is>
          <t>Concept</t>
        </is>
      </c>
      <c r="D17" s="7" t="inlineStr">
        <is>
          <t>Day 3: what is a tokenizer</t>
        </is>
      </c>
      <c r="E17" s="7" t="inlineStr">
        <is>
          <t>Converts text -&gt; list of integers (tokens) so models can process it. Different models have different tokenizers. 'नमस्ते' might be 1 token or 5 tokens depending on the tokenizer.</t>
        </is>
      </c>
      <c r="F17" s="7" t="inlineStr">
        <is>
          <t>Crucial framing for Weeks 2-5 where tokenizers appear repeatedly. One-paragraph mental model is enough.</t>
        </is>
      </c>
      <c r="G17" s="7" t="inlineStr">
        <is>
          <t>Intern</t>
        </is>
      </c>
      <c r="H17" s="7" t="inlineStr">
        <is>
          <t>Done</t>
        </is>
      </c>
      <c r="I17" s="7" t="n"/>
      <c r="J17" s="7" t="n"/>
    </row>
    <row r="18" ht="61.5" customHeight="1">
      <c r="A18" s="7" t="inlineStr">
        <is>
          <t>Week 0</t>
        </is>
      </c>
      <c r="B18" s="8">
        <f>IF(ISNUMBER(Overview!B6),Overview!B6+0,"")</f>
        <v/>
      </c>
      <c r="C18" s="10" t="inlineStr">
        <is>
          <t>Concept</t>
        </is>
      </c>
      <c r="D18" s="7" t="inlineStr">
        <is>
          <t>Day 3: training vs inference</t>
        </is>
      </c>
      <c r="E18" s="7" t="inlineStr">
        <is>
          <t>Training: model learns from labeled data. Inference: model runs on new inputs. We do inference only for 7 weeks. Knowing what we're NOT doing scopes the work.</t>
        </is>
      </c>
      <c r="F18" s="7" t="inlineStr">
        <is>
          <t>Bounds the scope explicitly. Pre-empts the 'should I train it' instinct that derails most first ML projects.</t>
        </is>
      </c>
      <c r="G18" s="7" t="inlineStr">
        <is>
          <t>Intern</t>
        </is>
      </c>
      <c r="H18" s="7" t="inlineStr">
        <is>
          <t>Done</t>
        </is>
      </c>
      <c r="I18" s="7" t="n"/>
      <c r="J18" s="7" t="n"/>
    </row>
    <row r="19" ht="61.5" customHeight="1">
      <c r="A19" s="7" t="inlineStr">
        <is>
          <t>Week 0</t>
        </is>
      </c>
      <c r="B19" s="8">
        <f>IF(ISNUMBER(Overview!B6),Overview!B6+0,"")</f>
        <v/>
      </c>
      <c r="C19" s="10" t="inlineStr">
        <is>
          <t>Concept</t>
        </is>
      </c>
      <c r="D19" s="7" t="inlineStr">
        <is>
          <t>Day 3: GPU vs CPU intuition</t>
        </is>
      </c>
      <c r="E19" s="7" t="inlineStr">
        <is>
          <t>GPU = thousands of small parallel cores, great at matrix multiplications. CPU = few fast sequential cores. Neural network = millions of matmuls -&gt; GPU is 10-100x faster.</t>
        </is>
      </c>
      <c r="F19" s="7" t="inlineStr">
        <is>
          <t>Frames Day 5's GPU warm-up and every subsequent profiling discussion. Intuition first, mechanics later.</t>
        </is>
      </c>
      <c r="G19" s="7" t="inlineStr">
        <is>
          <t>Intern</t>
        </is>
      </c>
      <c r="H19" s="7" t="inlineStr">
        <is>
          <t>Done</t>
        </is>
      </c>
      <c r="I19" s="7" t="n"/>
      <c r="J19" s="7" t="n"/>
    </row>
    <row r="20" ht="61.5" customHeight="1">
      <c r="A20" s="7" t="inlineStr">
        <is>
          <t>Week 0</t>
        </is>
      </c>
      <c r="B20" s="8">
        <f>IF(ISNUMBER(Overview!B6),Overview!B6+0,"")</f>
        <v/>
      </c>
      <c r="C20" s="11" t="inlineStr">
        <is>
          <t>Hands-on</t>
        </is>
      </c>
      <c r="D20" s="7" t="inlineStr">
        <is>
          <t>Day 4: watch 3Blue1Brown NN videos ch. 1-3</t>
        </is>
      </c>
      <c r="E20" s="18" t="inlineStr">
        <is>
          <t>But what IS a Neural Network?', 'Gradient descent', 'What does backpropagation really do?'. ~60 min total. Watch, don't pause to implement.</t>
        </is>
      </c>
      <c r="F20" s="7" t="inlineStr">
        <is>
          <t>Visual intuition for what's inside the model box. Watching is enough; implementing is for later if at all.</t>
        </is>
      </c>
      <c r="G20" s="7" t="inlineStr">
        <is>
          <t>Intern</t>
        </is>
      </c>
      <c r="H20" s="7" t="inlineStr">
        <is>
          <t>Done</t>
        </is>
      </c>
      <c r="I20" s="7" t="n"/>
      <c r="J20" s="7" t="n"/>
    </row>
    <row r="21" ht="61.5" customHeight="1">
      <c r="A21" s="7" t="inlineStr">
        <is>
          <t>Week 0</t>
        </is>
      </c>
      <c r="B21" s="8">
        <f>IF(ISNUMBER(Overview!B6),Overview!B6+0,"")</f>
        <v/>
      </c>
      <c r="C21" s="11" t="inlineStr">
        <is>
          <t>Hands-on</t>
        </is>
      </c>
      <c r="D21" s="7" t="inlineStr">
        <is>
          <t>Day 4: 1-page reflection in own words</t>
        </is>
      </c>
      <c r="E21" s="19" t="inlineStr">
        <is>
          <t>Answer in his own words: 'What is a neural network? What does training mean? Why do we need data?' One page max.</t>
        </is>
      </c>
      <c r="F21" s="7" t="inlineStr">
        <is>
          <t>Watching != understanding. Writing in own words tests retention and exposes gaps cheaply. THIS is the bootstrap diagnostic.</t>
        </is>
      </c>
      <c r="G21" s="7" t="inlineStr">
        <is>
          <t>Intern</t>
        </is>
      </c>
      <c r="H21" s="7" t="inlineStr">
        <is>
          <t>Done</t>
        </is>
      </c>
      <c r="I21" s="7" t="n"/>
      <c r="J21" s="7" t="n"/>
    </row>
    <row r="22" ht="61.5" customHeight="1">
      <c r="A22" s="7" t="inlineStr">
        <is>
          <t>Week 0</t>
        </is>
      </c>
      <c r="B22" s="8">
        <f>IF(ISNUMBER(Overview!B6),Overview!B6+0,"")</f>
        <v/>
      </c>
      <c r="C22" s="10" t="inlineStr">
        <is>
          <t>Concept</t>
        </is>
      </c>
      <c r="D22" s="7" t="inlineStr">
        <is>
          <t>Day 4: attention/transformers - 1-page primer</t>
        </is>
      </c>
      <c r="E22" s="19" t="inlineStr">
        <is>
          <t>Single page only: transformers are a NN architecture good at sequences. Attention lets each token 'look at' other tokens. Read Jay Alammar 'Illustrated Transformer' intro (first 1/3 only).</t>
        </is>
      </c>
      <c r="F22" s="7" t="inlineStr">
        <is>
          <t>One-page bird's-eye view so transformer vocabulary in Weeks 2-5 isn't entirely foreign. Don't go deep.</t>
        </is>
      </c>
      <c r="G22" s="7" t="inlineStr">
        <is>
          <t>Intern</t>
        </is>
      </c>
      <c r="H22" s="7" t="inlineStr">
        <is>
          <t>Done</t>
        </is>
      </c>
      <c r="I22" s="7" t="n"/>
      <c r="J22" s="7" t="n"/>
    </row>
    <row r="23" ht="61.5" customHeight="1">
      <c r="A23" s="7" t="inlineStr">
        <is>
          <t>Week 0</t>
        </is>
      </c>
      <c r="B23" s="8">
        <f>IF(ISNUMBER(Overview!B6),Overview!B6+0,"")</f>
        <v/>
      </c>
      <c r="C23" s="11" t="inlineStr">
        <is>
          <t>Hands-on</t>
        </is>
      </c>
      <c r="D23" s="7" t="inlineStr">
        <is>
          <t>Day 5: first PyTorch tensor</t>
        </is>
      </c>
      <c r="E23" s="7" t="inlineStr">
        <is>
          <t>pip install torch. torch.tensor([1,2,3]). Move .to('cuda'). Print .shape, .dtype, .device. Matmul of two random 1000x1000 tensors on CPU vs GPU, time both.</t>
        </is>
      </c>
      <c r="F23" s="7" t="inlineStr">
        <is>
          <t>Tactile first PyTorch experience. CPU-vs-GPU timing makes the Day-3 'why GPU' concept concrete.</t>
        </is>
      </c>
      <c r="G23" s="7" t="inlineStr">
        <is>
          <t>Intern</t>
        </is>
      </c>
      <c r="H23" s="7" t="inlineStr">
        <is>
          <t>Done</t>
        </is>
      </c>
      <c r="I23" s="7" t="inlineStr">
        <is>
          <t>https://github.com/makarkul/bharatgen-speech-intern-2026/tree/claude/setup-intern-project-FkRbX/week0/day5_pytorch_tensors.ipynb</t>
        </is>
      </c>
      <c r="J23" s="7" t="inlineStr">
        <is>
          <t>torch.tensor created, moved to/from cuda; .shape/.dtype/.device printed</t>
        </is>
      </c>
    </row>
    <row r="24" ht="61.5" customHeight="1">
      <c r="A24" s="7" t="inlineStr">
        <is>
          <t>Week 0</t>
        </is>
      </c>
      <c r="B24" s="8">
        <f>IF(ISNUMBER(Overview!B6),Overview!B6+0,"")</f>
        <v/>
      </c>
      <c r="C24" s="11" t="inlineStr">
        <is>
          <t>Hands-on</t>
        </is>
      </c>
      <c r="D24" s="7" t="inlineStr">
        <is>
          <t>Day 5: run HF distilbert via pipeline()</t>
        </is>
      </c>
      <c r="E24" s="7" t="inlineStr">
        <is>
          <t>from transformers import pipeline; pipe = pipeline('sentiment-analysis'); pipe('I love this'). Three lines. Print the output.</t>
        </is>
      </c>
      <c r="F24" s="7" t="inlineStr">
        <is>
          <t>Easiest possible HF entry. No AutoModel/AutoTokenizer yet — just see that 'model goes brrr' works.</t>
        </is>
      </c>
      <c r="G24" s="7" t="inlineStr">
        <is>
          <t>Intern</t>
        </is>
      </c>
      <c r="H24" s="7" t="inlineStr">
        <is>
          <t>Done</t>
        </is>
      </c>
      <c r="I24" s="7" t="inlineStr">
        <is>
          <t>https://github.com/makarkul/bharatgen-speech-intern-2026/tree/claude/setup-intern-project-FkRbX/week0/day5_pytorch_tensors.ipynb</t>
        </is>
      </c>
      <c r="J24" s="7" t="inlineStr">
        <is>
          <t>pipeline('sentiment-analysis') run on 2 sentences with prose explanation of the load/tokenize/inference flow</t>
        </is>
      </c>
    </row>
    <row r="25" ht="61.5" customHeight="1">
      <c r="A25" s="7" t="inlineStr">
        <is>
          <t>Week 0</t>
        </is>
      </c>
      <c r="B25" s="8">
        <f>IF(ISNUMBER(Overview!B6),Overview!B6+0,"")</f>
        <v/>
      </c>
      <c r="C25" s="11" t="inlineStr">
        <is>
          <t>Hands-on</t>
        </is>
      </c>
      <c r="D25" s="7" t="inlineStr">
        <is>
          <t>Day 5: first commit</t>
        </is>
      </c>
      <c r="E25" s="7" t="inlineStr">
        <is>
          <t>Commit week0_bootstrap.ipynb to repo with all Day 1-5 exercises. First git push.</t>
        </is>
      </c>
      <c r="F25" s="7" t="inlineStr">
        <is>
          <t>Repo hygiene begins. Friday review now has something to review.</t>
        </is>
      </c>
      <c r="G25" s="7" t="inlineStr">
        <is>
          <t>Intern</t>
        </is>
      </c>
      <c r="H25" s="7" t="inlineStr">
        <is>
          <t>Done</t>
        </is>
      </c>
      <c r="I25" s="7" t="inlineStr">
        <is>
          <t>https://github.com/makarkul/bharatgen-speech-intern-2026/tree/claude/setup-intern-project-FkRbX</t>
        </is>
      </c>
      <c r="J25" s="7" t="inlineStr">
        <is>
          <t>Multiple commits to claude/setup-intern-project-FkRbX; week0_bootstrap.ipynb + day notebooks pushed</t>
        </is>
      </c>
    </row>
    <row r="26" ht="61.5" customHeight="1">
      <c r="A26" s="7" t="inlineStr">
        <is>
          <t>Week 0</t>
        </is>
      </c>
      <c r="B26" s="8">
        <f>IF(ISNUMBER(Overview!B6),Overview!B6+0,"")</f>
        <v/>
      </c>
      <c r="C26" s="12" t="inlineStr">
        <is>
          <t>Deliverable</t>
        </is>
      </c>
      <c r="D26" s="7" t="inlineStr">
        <is>
          <t>week0_bootstrap.ipynb + reflection.md</t>
        </is>
      </c>
      <c r="E26" s="7" t="inlineStr">
        <is>
          <t>Single notebook covering Days 1-5 exercises. reflection.md = his 1-page NN explanation from Day 4.</t>
        </is>
      </c>
      <c r="F26" s="7" t="inlineStr">
        <is>
          <t>Single artifact for the week. Reviewable in one sitting. Reflection.md is the diagnostic — if vague, slow Week 1 down.</t>
        </is>
      </c>
      <c r="G26" s="7" t="inlineStr">
        <is>
          <t>Intern</t>
        </is>
      </c>
      <c r="H26" s="7" t="inlineStr">
        <is>
          <t>Done</t>
        </is>
      </c>
      <c r="I26" s="7" t="inlineStr">
        <is>
          <t>https://github.com/makarkul/bharatgen-speech-intern-2026/tree/claude/setup-intern-project-FkRbX/week0</t>
        </is>
      </c>
      <c r="J26" s="7" t="inlineStr">
        <is>
          <t>Per-day notebooks (day1_numpy, day2_matplotlib_librosa, day3_ml_tokens_tensor, day5_pytorch_tensors) + reflection.md (NN, training, attention/transformers) committed. Intern split the single bootstrap notebook by day; deliverable spec accepted as 'Done'.</t>
        </is>
      </c>
    </row>
    <row r="27" ht="61.5" customHeight="1">
      <c r="A27" s="7" t="inlineStr">
        <is>
          <t>Week 0</t>
        </is>
      </c>
      <c r="B27" s="8">
        <f>IF(ISNUMBER(Overview!B6),Overview!B6+0,"")</f>
        <v/>
      </c>
      <c r="C27" s="13" t="inlineStr">
        <is>
          <t>Anti-pattern</t>
        </is>
      </c>
      <c r="D27" s="7" t="inlineStr">
        <is>
          <t>Don't: implement a NN from scratch</t>
        </is>
      </c>
      <c r="E27" s="7" t="inlineStr">
        <is>
          <t>Skip 'build your own neural network in numpy' tutorials. Skip backprop derivations.</t>
        </is>
      </c>
      <c r="F27" s="7" t="inlineStr">
        <is>
          <t>Optimization target for Week 0 is conceptual coverage, not building. Implementation is a Week-9+ activity (i.e., after this internship).</t>
        </is>
      </c>
      <c r="G27" s="7" t="inlineStr">
        <is>
          <t>Intern</t>
        </is>
      </c>
      <c r="H27" s="7" t="inlineStr">
        <is>
          <t>Done</t>
        </is>
      </c>
      <c r="I27" s="7" t="n"/>
      <c r="J27" s="7" t="inlineStr">
        <is>
          <t>No scratch-NN implementation in week0 notebooks</t>
        </is>
      </c>
    </row>
    <row r="28" ht="61.5" customHeight="1">
      <c r="A28" s="7" t="inlineStr">
        <is>
          <t>Week 0</t>
        </is>
      </c>
      <c r="B28" s="8">
        <f>IF(ISNUMBER(Overview!B6),Overview!B6+0,"")</f>
        <v/>
      </c>
      <c r="C28" s="13" t="inlineStr">
        <is>
          <t>Anti-pattern</t>
        </is>
      </c>
      <c r="D28" s="7" t="inlineStr">
        <is>
          <t>Don't: read PyTorch tutorials past 'Tensors'</t>
        </is>
      </c>
      <c r="E28" s="7" t="inlineStr">
        <is>
          <t>Skip 'Autograd', 'Training a Classifier', 'Optimization'. Those are training-stack content; we don't train.</t>
        </is>
      </c>
      <c r="F28" s="7" t="inlineStr">
        <is>
          <t>Inference-only scope. Reading training content now muddles the mental model.</t>
        </is>
      </c>
      <c r="G28" s="7" t="inlineStr">
        <is>
          <t>Intern</t>
        </is>
      </c>
      <c r="H28" s="7" t="inlineStr">
        <is>
          <t>Done</t>
        </is>
      </c>
      <c r="I28" s="7" t="n"/>
      <c r="J28" s="7" t="inlineStr">
        <is>
          <t>Day 5 stayed at tensor creation + device moves; no autograd</t>
        </is>
      </c>
    </row>
    <row r="29" ht="61.5" customHeight="1">
      <c r="A29" s="7" t="inlineStr">
        <is>
          <t>Week 0</t>
        </is>
      </c>
      <c r="B29" s="8">
        <f>IF(ISNUMBER(Overview!B6),Overview!B6+0,"")</f>
        <v/>
      </c>
      <c r="C29" s="13" t="inlineStr">
        <is>
          <t>Anti-pattern</t>
        </is>
      </c>
      <c r="D29" s="7" t="inlineStr">
        <is>
          <t>Don't: stress over 3Blue1Brown math</t>
        </is>
      </c>
      <c r="E29" s="7" t="inlineStr">
        <is>
          <t>If gradient descent algebra is hard, that's fine. Watch for intuition; math doesn't gate Week 1.</t>
        </is>
      </c>
      <c r="F29" s="7" t="inlineStr">
        <is>
          <t>Math fluency is not a Week-0 prerequisite. Sets expectations.</t>
        </is>
      </c>
      <c r="G29" s="7" t="inlineStr">
        <is>
          <t>Intern</t>
        </is>
      </c>
      <c r="H29" s="7" t="inlineStr">
        <is>
          <t>Done</t>
        </is>
      </c>
      <c r="I29" s="7" t="n"/>
      <c r="J29" s="7" t="inlineStr">
        <is>
          <t>Reflection captures intuition without algebra</t>
        </is>
      </c>
    </row>
    <row r="30" ht="61.5" customHeight="1">
      <c r="A30" s="7" t="inlineStr">
        <is>
          <t>Week 1</t>
        </is>
      </c>
      <c r="B30" s="8">
        <f>IF(ISNUMBER(Overview!B6),Overview!B6+7,"")</f>
        <v/>
      </c>
      <c r="C30" s="10" t="inlineStr">
        <is>
          <t>Concept</t>
        </is>
      </c>
      <c r="D30" s="7" t="inlineStr">
        <is>
          <t>Sampling rate: 16 kHz vs 44.1 kHz</t>
        </is>
      </c>
      <c r="E30" s="7" t="inlineStr">
        <is>
          <t>What sampling rate means; why ASR models specify 16 kHz; what happens when you pass 44.1 kHz to a 16 kHz model.</t>
        </is>
      </c>
      <c r="F30" s="7" t="inlineStr">
        <is>
          <t>Sample-rate mismatch is a top silent-failure mode. Spot it now, save 4 hours of debugging later.</t>
        </is>
      </c>
      <c r="G30" s="7" t="inlineStr">
        <is>
          <t>Intern</t>
        </is>
      </c>
      <c r="H30" s="7" t="inlineStr">
        <is>
          <t>Done</t>
        </is>
      </c>
      <c r="I30" s="7" t="n"/>
      <c r="J30" s="7" t="n"/>
    </row>
    <row r="31" ht="61.5" customHeight="1">
      <c r="A31" s="7" t="inlineStr">
        <is>
          <t>Week 1</t>
        </is>
      </c>
      <c r="B31" s="8">
        <f>IF(ISNUMBER(Overview!B6),Overview!B6+7,"")</f>
        <v/>
      </c>
      <c r="C31" s="10" t="inlineStr">
        <is>
          <t>Concept</t>
        </is>
      </c>
      <c r="D31" s="7" t="inlineStr">
        <is>
          <t>Mono vs stereo</t>
        </is>
      </c>
      <c r="E31" s="7" t="inlineStr">
        <is>
          <t>Why speech models expect mono. How to convert stereo to mono in librosa/torchaudio.</t>
        </is>
      </c>
      <c r="F31" s="7" t="inlineStr">
        <is>
          <t>Common preprocessing bug source.</t>
        </is>
      </c>
      <c r="G31" s="7" t="inlineStr">
        <is>
          <t>Intern</t>
        </is>
      </c>
      <c r="H31" s="7" t="inlineStr">
        <is>
          <t>Done</t>
        </is>
      </c>
      <c r="I31" s="7" t="n"/>
      <c r="J31" s="7" t="n"/>
    </row>
    <row r="32" ht="61.5" customHeight="1">
      <c r="A32" s="7" t="inlineStr">
        <is>
          <t>Week 1</t>
        </is>
      </c>
      <c r="B32" s="8">
        <f>IF(ISNUMBER(Overview!B6),Overview!B6+7,"")</f>
        <v/>
      </c>
      <c r="C32" s="10" t="inlineStr">
        <is>
          <t>Concept</t>
        </is>
      </c>
      <c r="D32" s="7" t="inlineStr">
        <is>
          <t>Waveform vs spectrogram, mel scale</t>
        </is>
      </c>
      <c r="E32" s="7" t="inlineStr">
        <is>
          <t>Visual difference; what models actually consume; why mel rather than linear frequency.</t>
        </is>
      </c>
      <c r="F32" s="7" t="inlineStr">
        <is>
          <t>Models consume spectrograms, humans see waveforms. Bridging this gap visually = fastest path to intuition.</t>
        </is>
      </c>
      <c r="G32" s="7" t="inlineStr">
        <is>
          <t>Intern</t>
        </is>
      </c>
      <c r="H32" s="7" t="inlineStr">
        <is>
          <t>Done</t>
        </is>
      </c>
      <c r="I32" s="7" t="inlineStr">
        <is>
          <t>https://github.com/makarkul/bharatgen-speech-intern-2026/blob/claude/setup-intern-project-FkRbX/week1/week1_audio_basics.ipynb</t>
        </is>
      </c>
      <c r="J32" s="7" t="inlineStr">
        <is>
          <t>Covered in week1_audio_basics.ipynb + mel-spec plots for 5 languages</t>
        </is>
      </c>
    </row>
    <row r="33" ht="61.5" customHeight="1">
      <c r="A33" s="7" t="inlineStr">
        <is>
          <t>Week 1</t>
        </is>
      </c>
      <c r="B33" s="8">
        <f>IF(ISNUMBER(Overview!B6),Overview!B6+7,"")</f>
        <v/>
      </c>
      <c r="C33" s="10" t="inlineStr">
        <is>
          <t>Concept</t>
        </is>
      </c>
      <c r="D33" s="7" t="inlineStr">
        <is>
          <t>Tensor basics in practice</t>
        </is>
      </c>
      <c r="E33" s="7" t="inlineStr">
        <is>
          <t>tensor.to(device), .shape, .dtype, .cpu(), .numpy(). Why device-mismatched ops fail.</t>
        </is>
      </c>
      <c r="F33" s="7" t="inlineStr">
        <is>
          <t>Builds on Week 0 Day 5 with more depth now that bootstrap context exists.</t>
        </is>
      </c>
      <c r="G33" s="7" t="inlineStr">
        <is>
          <t>Intern</t>
        </is>
      </c>
      <c r="H33" s="7" t="inlineStr">
        <is>
          <t>Done</t>
        </is>
      </c>
      <c r="I33" s="7" t="inlineStr">
        <is>
          <t>https://github.com/makarkul/bharatgen-speech-intern-2026/blob/claude/setup-intern-project-FkRbX/week1/week1_tensors_matmul.ipynb</t>
        </is>
      </c>
      <c r="J33" s="7" t="inlineStr">
        <is>
          <t>.shape/.dtype/.device/.to()/.numpy() walked through with examples</t>
        </is>
      </c>
    </row>
    <row r="34" ht="61.5" customHeight="1">
      <c r="A34" s="7" t="inlineStr">
        <is>
          <t>Week 1</t>
        </is>
      </c>
      <c r="B34" s="8">
        <f>IF(ISNUMBER(Overview!B6),Overview!B6+7,"")</f>
        <v/>
      </c>
      <c r="C34" s="11" t="inlineStr">
        <is>
          <t>Hands-on</t>
        </is>
      </c>
      <c r="D34" s="7" t="inlineStr">
        <is>
          <t>Record 5 clips in different languages</t>
        </is>
      </c>
      <c r="E34" s="7" t="inlineStr">
        <is>
          <t>Phone recordings: Hindi, English, plus 3 of Marathi/Tamil/Kannada/Bengali. Save as WAV.</t>
        </is>
      </c>
      <c r="F34" s="7" t="inlineStr">
        <is>
          <t>Real audio surfaces real preprocessing issues that synthetic test files don't.</t>
        </is>
      </c>
      <c r="G34" s="7" t="inlineStr">
        <is>
          <t>Intern</t>
        </is>
      </c>
      <c r="H34" s="7" t="inlineStr">
        <is>
          <t>Done</t>
        </is>
      </c>
      <c r="I34" s="7" t="inlineStr">
        <is>
          <t>https://github.com/makarkul/bharatgen-speech-intern-2026/tree/claude/setup-intern-project-FkRbX/week1/data/audio_clips</t>
        </is>
      </c>
      <c r="J34" s="7" t="inlineStr">
        <is>
          <t>5 .wav clips committed: English, Hindi, Kannada, Marathi, Telugu</t>
        </is>
      </c>
    </row>
    <row r="35" ht="61.5" customHeight="1">
      <c r="A35" s="7" t="inlineStr">
        <is>
          <t>Week 1</t>
        </is>
      </c>
      <c r="B35" s="8">
        <f>IF(ISNUMBER(Overview!B6),Overview!B6+7,"")</f>
        <v/>
      </c>
      <c r="C35" s="11" t="inlineStr">
        <is>
          <t>Hands-on</t>
        </is>
      </c>
      <c r="D35" s="7" t="inlineStr">
        <is>
          <t>Plot waveform and mel-spectrogram</t>
        </is>
      </c>
      <c r="E35" s="7" t="inlineStr">
        <is>
          <t>Side-by-side plots in librosa. Zoom in on silence vs speech. Annotate which is which.</t>
        </is>
      </c>
      <c r="F35" s="7" t="inlineStr">
        <is>
          <t>Visualization grounds the abstract. Annotation forces him to articulate what he sees.</t>
        </is>
      </c>
      <c r="G35" s="7" t="inlineStr">
        <is>
          <t>Intern</t>
        </is>
      </c>
      <c r="H35" s="7" t="inlineStr">
        <is>
          <t>Done</t>
        </is>
      </c>
      <c r="I35" s="7" t="inlineStr">
        <is>
          <t>https://github.com/makarkul/bharatgen-speech-intern-2026/tree/claude/setup-intern-project-FkRbX/week1/data/plots</t>
        </is>
      </c>
      <c r="J35" s="7" t="inlineStr">
        <is>
          <t>Side-by-side waveform + mel-spectrogram PNGs for all 5 language clips</t>
        </is>
      </c>
    </row>
    <row r="36" ht="61.5" customHeight="1">
      <c r="A36" s="7" t="inlineStr">
        <is>
          <t>Week 1</t>
        </is>
      </c>
      <c r="B36" s="8">
        <f>IF(ISNUMBER(Overview!B6),Overview!B6+7,"")</f>
        <v/>
      </c>
      <c r="C36" s="11" t="inlineStr">
        <is>
          <t>Hands-on</t>
        </is>
      </c>
      <c r="D36" s="7" t="inlineStr">
        <is>
          <t>Resample 44.1 -&gt; 16 kHz, listen to both</t>
        </is>
      </c>
      <c r="E36" s="7" t="inlineStr">
        <is>
          <t>torchaudio.transforms.Resample. Listen and compare. Note what's lost.</t>
        </is>
      </c>
      <c r="F36" s="7" t="inlineStr">
        <is>
          <t>Demonstrates that significant information loss is tolerable for intelligibility — frames why ASR standardized on 16 kHz.</t>
        </is>
      </c>
      <c r="G36" s="7" t="inlineStr">
        <is>
          <t>Intern</t>
        </is>
      </c>
      <c r="H36" s="7" t="inlineStr">
        <is>
          <t>Done</t>
        </is>
      </c>
      <c r="I36" s="7" t="inlineStr">
        <is>
          <t>https://github.com/makarkul/bharatgen-speech-intern-2026/blob/claude/setup-intern-project-FkRbX/week1/resampling_16khz.ipynb</t>
        </is>
      </c>
      <c r="J36" s="7" t="inlineStr">
        <is>
          <t>48kHz-&gt;16kHz torchaudio resample with subjective listen-comparison notes</t>
        </is>
      </c>
    </row>
    <row r="37" ht="61.5" customHeight="1">
      <c r="A37" s="7" t="inlineStr">
        <is>
          <t>Week 1</t>
        </is>
      </c>
      <c r="B37" s="8">
        <f>IF(ISNUMBER(Overview!B6),Overview!B6+7,"")</f>
        <v/>
      </c>
      <c r="C37" s="11" t="inlineStr">
        <is>
          <t>Hands-on</t>
        </is>
      </c>
      <c r="D37" s="7" t="inlineStr">
        <is>
          <t>Time CPU vs GPU matmul (larger)</t>
        </is>
      </c>
      <c r="E37" s="7" t="inlineStr">
        <is>
          <t>10000x10000 matmul, CPU vs GPU. Compare to Week 0 Day 5's 1000x1000 numbers.</t>
        </is>
      </c>
      <c r="F37" s="7" t="inlineStr">
        <is>
          <t>Quantifies how the gap grows with size. Concrete intuition for batching benefits later.</t>
        </is>
      </c>
      <c r="G37" s="7" t="inlineStr">
        <is>
          <t>Intern</t>
        </is>
      </c>
      <c r="H37" s="7" t="inlineStr">
        <is>
          <t>Done</t>
        </is>
      </c>
      <c r="I37" s="7" t="inlineStr">
        <is>
          <t>https://github.com/makarkul/bharatgen-speech-intern-2026/blob/claude/setup-intern-project-FkRbX/week1/week1_tensors_matmul.ipynb</t>
        </is>
      </c>
      <c r="J37" s="7" t="inlineStr">
        <is>
          <t>Benchmarks at 1000/2500/10000 matrix sizes, CPU vs GPU with synchronize()</t>
        </is>
      </c>
    </row>
    <row r="38" ht="61.5" customHeight="1">
      <c r="A38" s="7" t="inlineStr">
        <is>
          <t>Week 1</t>
        </is>
      </c>
      <c r="B38" s="8">
        <f>IF(ISNUMBER(Overview!B6),Overview!B6+7,"")</f>
        <v/>
      </c>
      <c r="C38" s="12" t="inlineStr">
        <is>
          <t>Deliverable</t>
        </is>
      </c>
      <c r="D38" s="7" t="inlineStr">
        <is>
          <t>week1_audio_basics.ipynb + audio_cheatsheet.md</t>
        </is>
      </c>
      <c r="E38" s="7" t="inlineStr">
        <is>
          <t>Notebook with plots and annotations. 1-page cheatsheet: sampling rate, mono/stereo, resampling, mel-spectrogram.</t>
        </is>
      </c>
      <c r="F38" s="7" t="inlineStr">
        <is>
          <t>Cheatsheet seeds the handoff package. Audience-of-two forces clarity.</t>
        </is>
      </c>
      <c r="G38" s="7" t="inlineStr">
        <is>
          <t>Intern</t>
        </is>
      </c>
      <c r="H38" s="7" t="inlineStr">
        <is>
          <t>Done</t>
        </is>
      </c>
      <c r="I38" s="7" t="inlineStr">
        <is>
          <t>https://github.com/makarkul/bharatgen-speech-intern-2026/tree/claude/setup-intern-project-FkRbX/week1</t>
        </is>
      </c>
      <c r="J38" s="7" t="inlineStr">
        <is>
          <t>Both deliverable files present: week1_audio_basics.ipynb and audio_cheatsheet.md</t>
        </is>
      </c>
    </row>
    <row r="39" ht="61.5" customHeight="1">
      <c r="A39" s="7" t="inlineStr">
        <is>
          <t>Week 1</t>
        </is>
      </c>
      <c r="B39" s="8">
        <f>IF(ISNUMBER(Overview!B6),Overview!B6+7,"")</f>
        <v/>
      </c>
      <c r="C39" s="13" t="inlineStr">
        <is>
          <t>Anti-pattern</t>
        </is>
      </c>
      <c r="D39" s="7" t="inlineStr">
        <is>
          <t>Don't: read Stanford CS224S lectures</t>
        </is>
      </c>
      <c r="E39" s="7" t="inlineStr">
        <is>
          <t>Skip the full course. Theory rabbit hole.</t>
        </is>
      </c>
      <c r="F39" s="7" t="inlineStr">
        <is>
          <t>Three weeks can disappear into lectures with no code shipped.</t>
        </is>
      </c>
      <c r="G39" s="7" t="inlineStr">
        <is>
          <t>Intern</t>
        </is>
      </c>
      <c r="H39" s="7" t="inlineStr">
        <is>
          <t>Done</t>
        </is>
      </c>
      <c r="I39" s="7" t="n"/>
      <c r="J39" s="7" t="inlineStr">
        <is>
          <t>No detour into CS224S — stayed on librosa/torchaudio primitives</t>
        </is>
      </c>
    </row>
    <row r="40" ht="61.5" customHeight="1">
      <c r="A40" s="7" t="inlineStr">
        <is>
          <t>Week 1</t>
        </is>
      </c>
      <c r="B40" s="8">
        <f>IF(ISNUMBER(Overview!B6),Overview!B6+7,"")</f>
        <v/>
      </c>
      <c r="C40" s="13" t="inlineStr">
        <is>
          <t>Anti-pattern</t>
        </is>
      </c>
      <c r="D40" s="7" t="inlineStr">
        <is>
          <t>Don't: derive Fourier transforms</t>
        </is>
      </c>
      <c r="E40" s="7" t="inlineStr">
        <is>
          <t>Pattern-match what librosa produces. Don't reinvent the FFT.</t>
        </is>
      </c>
      <c r="F40" s="7" t="inlineStr">
        <is>
          <t>Not on the critical path to running BharatGen models.</t>
        </is>
      </c>
      <c r="G40" s="7" t="inlineStr">
        <is>
          <t>Intern</t>
        </is>
      </c>
      <c r="H40" s="7" t="inlineStr">
        <is>
          <t>Done</t>
        </is>
      </c>
      <c r="I40" s="7" t="n"/>
      <c r="J40" s="7" t="inlineStr">
        <is>
          <t>Used librosa/torch primitives directly; no FFT re-derivation</t>
        </is>
      </c>
    </row>
    <row r="41" ht="61.5" customHeight="1">
      <c r="A41" s="7" t="inlineStr">
        <is>
          <t>Week 2</t>
        </is>
      </c>
      <c r="B41" s="8">
        <f>IF(ISNUMBER(Overview!B6),Overview!B6+14,"")</f>
        <v/>
      </c>
      <c r="C41" s="10" t="inlineStr">
        <is>
          <t>Concept</t>
        </is>
      </c>
      <c r="D41" s="7" t="inlineStr">
        <is>
          <t>AutoModel / AutoTokenizer / AutoProcessor</t>
        </is>
      </c>
      <c r="E41" s="7" t="inlineStr">
        <is>
          <t>The Auto* pattern in HF transformers. Three classes: model weights, text tokenizer, multimodal processor.</t>
        </is>
      </c>
      <c r="F41" s="7" t="inlineStr">
        <is>
          <t>Once internalized, every new HF model card becomes 80% familiar.</t>
        </is>
      </c>
      <c r="G41" s="7" t="inlineStr">
        <is>
          <t>Intern</t>
        </is>
      </c>
      <c r="H41" s="7" t="inlineStr">
        <is>
          <t>Not Started</t>
        </is>
      </c>
      <c r="I41" s="7" t="n"/>
      <c r="J41" s="7" t="n"/>
    </row>
    <row r="42" ht="61.5" customHeight="1">
      <c r="A42" s="7" t="inlineStr">
        <is>
          <t>Week 2</t>
        </is>
      </c>
      <c r="B42" s="8">
        <f>IF(ISNUMBER(Overview!B6),Overview!B6+14,"")</f>
        <v/>
      </c>
      <c r="C42" s="10" t="inlineStr">
        <is>
          <t>Concept</t>
        </is>
      </c>
      <c r="D42" s="7" t="inlineStr">
        <is>
          <t>trust_remote_code=True - security</t>
        </is>
      </c>
      <c r="E42" s="7" t="inlineStr">
        <is>
          <t>What this flag does: executes Python from the model repo. Implications for untrusted models.</t>
        </is>
      </c>
      <c r="F42" s="7" t="inlineStr">
        <is>
          <t>Sooktam-2 in Week 4 requires this flag. Need intuition before flipping it.</t>
        </is>
      </c>
      <c r="G42" s="7" t="inlineStr">
        <is>
          <t>Intern</t>
        </is>
      </c>
      <c r="H42" s="7" t="inlineStr">
        <is>
          <t>Not Started</t>
        </is>
      </c>
      <c r="I42" s="7" t="n"/>
      <c r="J42" s="7" t="n"/>
    </row>
    <row r="43" ht="61.5" customHeight="1">
      <c r="A43" s="7" t="inlineStr">
        <is>
          <t>Week 2</t>
        </is>
      </c>
      <c r="B43" s="8">
        <f>IF(ISNUMBER(Overview!B6),Overview!B6+14,"")</f>
        <v/>
      </c>
      <c r="C43" s="10" t="inlineStr">
        <is>
          <t>Concept</t>
        </is>
      </c>
      <c r="D43" s="7" t="inlineStr">
        <is>
          <t>model.eval() and torch.no_grad()</t>
        </is>
      </c>
      <c r="E43" s="7" t="inlineStr">
        <is>
          <t>Training mode vs inference mode. no_grad halves memory and speeds up inference because it stops tracking gradients.</t>
        </is>
      </c>
      <c r="F43" s="7" t="inlineStr">
        <is>
          <t>Forgotten in ~50% of beginner inference code. Easy win.</t>
        </is>
      </c>
      <c r="G43" s="7" t="inlineStr">
        <is>
          <t>Intern</t>
        </is>
      </c>
      <c r="H43" s="7" t="inlineStr">
        <is>
          <t>Not Started</t>
        </is>
      </c>
      <c r="I43" s="7" t="n"/>
      <c r="J43" s="7" t="n"/>
    </row>
    <row r="44" ht="61.5" customHeight="1">
      <c r="A44" s="7" t="inlineStr">
        <is>
          <t>Week 2</t>
        </is>
      </c>
      <c r="B44" s="8">
        <f>IF(ISNUMBER(Overview!B6),Overview!B6+14,"")</f>
        <v/>
      </c>
      <c r="C44" s="10" t="inlineStr">
        <is>
          <t>Concept</t>
        </is>
      </c>
      <c r="D44" s="7" t="inlineStr">
        <is>
          <t>Tokens, logits, softmax - the output side</t>
        </is>
      </c>
      <c r="E44" s="7" t="inlineStr">
        <is>
          <t>Token = integer the tokenizer produces. Logits = raw model output (one number per vocab token). Softmax converts logits to probabilities. Builds on Week 0 tokenizer concept.</t>
        </is>
      </c>
      <c r="F44" s="7" t="inlineStr">
        <is>
          <t>Closes the loop on Week 0. Logits/softmax are the language of every generate() call.</t>
        </is>
      </c>
      <c r="G44" s="7" t="inlineStr">
        <is>
          <t>Intern</t>
        </is>
      </c>
      <c r="H44" s="7" t="inlineStr">
        <is>
          <t>Not Started</t>
        </is>
      </c>
      <c r="I44" s="7" t="n"/>
      <c r="J44" s="7" t="n"/>
    </row>
    <row r="45" ht="61.5" customHeight="1">
      <c r="A45" s="7" t="inlineStr">
        <is>
          <t>Week 2</t>
        </is>
      </c>
      <c r="B45" s="8">
        <f>IF(ISNUMBER(Overview!B6),Overview!B6+14,"")</f>
        <v/>
      </c>
      <c r="C45" s="10" t="inlineStr">
        <is>
          <t>Concept</t>
        </is>
      </c>
      <c r="D45" s="7" t="inlineStr">
        <is>
          <t>HF cache structure</t>
        </is>
      </c>
      <c r="E45" s="7" t="inlineStr">
        <is>
          <t>Inspect ~/.cache/huggingface/hub/. Files: config.json, tokenizer files, weights.</t>
        </is>
      </c>
      <c r="F45" s="7" t="inlineStr">
        <is>
          <t>Demystifies the 'magic' of from_pretrained. Helps diagnose disk-space issues later.</t>
        </is>
      </c>
      <c r="G45" s="7" t="inlineStr">
        <is>
          <t>Intern</t>
        </is>
      </c>
      <c r="H45" s="7" t="inlineStr">
        <is>
          <t>Not Started</t>
        </is>
      </c>
      <c r="I45" s="7" t="n"/>
      <c r="J45" s="7" t="n"/>
    </row>
    <row r="46" ht="61.5" customHeight="1">
      <c r="A46" s="7" t="inlineStr">
        <is>
          <t>Week 2</t>
        </is>
      </c>
      <c r="B46" s="8">
        <f>IF(ISNUMBER(Overview!B6),Overview!B6+14,"")</f>
        <v/>
      </c>
      <c r="C46" s="11" t="inlineStr">
        <is>
          <t>Hands-on</t>
        </is>
      </c>
      <c r="D46" s="7" t="inlineStr">
        <is>
          <t>Run distilbert manually (not pipeline)</t>
        </is>
      </c>
      <c r="E46" s="7" t="inlineStr">
        <is>
          <t>Load distilbert with AutoModel/AutoTokenizer. Print raw logits, apply torch.softmax, see probabilities. Compare to pipeline()'s output.</t>
        </is>
      </c>
      <c r="F46" s="7" t="inlineStr">
        <is>
          <t>Bridges Week 0's pipeline() experience with the manual API. He sees what pipeline() was doing.</t>
        </is>
      </c>
      <c r="G46" s="7" t="inlineStr">
        <is>
          <t>Intern</t>
        </is>
      </c>
      <c r="H46" s="7" t="inlineStr">
        <is>
          <t>Not Started</t>
        </is>
      </c>
      <c r="I46" s="7" t="n"/>
      <c r="J46" s="7" t="n"/>
    </row>
    <row r="47" ht="61.5" customHeight="1">
      <c r="A47" s="7" t="inlineStr">
        <is>
          <t>Week 2</t>
        </is>
      </c>
      <c r="B47" s="8">
        <f>IF(ISNUMBER(Overview!B6),Overview!B6+14,"")</f>
        <v/>
      </c>
      <c r="C47" s="11" t="inlineStr">
        <is>
          <t>Hands-on</t>
        </is>
      </c>
      <c r="D47" s="7" t="inlineStr">
        <is>
          <t>Run whisper-tiny on Week 1 audio</t>
        </is>
      </c>
      <c r="E47" s="7" t="inlineStr">
        <is>
          <t>openai/whisper-tiny via transformers. Get transcriptions.</t>
        </is>
      </c>
      <c r="F47" s="7" t="inlineStr">
        <is>
          <t>First speech model. Becomes Week 3 baseline for Shrutam-2 comparison.</t>
        </is>
      </c>
      <c r="G47" s="7" t="inlineStr">
        <is>
          <t>Intern</t>
        </is>
      </c>
      <c r="H47" s="7" t="inlineStr">
        <is>
          <t>Not Started</t>
        </is>
      </c>
      <c r="I47" s="7" t="n"/>
      <c r="J47" s="7" t="n"/>
    </row>
    <row r="48" ht="61.5" customHeight="1">
      <c r="A48" s="7" t="inlineStr">
        <is>
          <t>Week 2</t>
        </is>
      </c>
      <c r="B48" s="8">
        <f>IF(ISNUMBER(Overview!B6),Overview!B6+14,"")</f>
        <v/>
      </c>
      <c r="C48" s="11" t="inlineStr">
        <is>
          <t>Hands-on</t>
        </is>
      </c>
      <c r="D48" s="7" t="inlineStr">
        <is>
          <t>Read a config.json end-to-end</t>
        </is>
      </c>
      <c r="E48" s="7" t="inlineStr">
        <is>
          <t>Identify and write in plain English what hidden_size, num_hidden_layers, vocab_size mean.</t>
        </is>
      </c>
      <c r="F48" s="7" t="inlineStr">
        <is>
          <t>Builds intuition for what 'loading a model' actually involves.</t>
        </is>
      </c>
      <c r="G48" s="7" t="inlineStr">
        <is>
          <t>Intern</t>
        </is>
      </c>
      <c r="H48" s="7" t="inlineStr">
        <is>
          <t>Not Started</t>
        </is>
      </c>
      <c r="I48" s="7" t="n"/>
      <c r="J48" s="7" t="n"/>
    </row>
    <row r="49" ht="61.5" customHeight="1">
      <c r="A49" s="7" t="inlineStr">
        <is>
          <t>Week 2</t>
        </is>
      </c>
      <c r="B49" s="8">
        <f>IF(ISNUMBER(Overview!B6),Overview!B6+14,"")</f>
        <v/>
      </c>
      <c r="C49" s="12" t="inlineStr">
        <is>
          <t>Deliverable</t>
        </is>
      </c>
      <c r="D49" s="7" t="inlineStr">
        <is>
          <t>how_to_run_an_hf_model.md</t>
        </is>
      </c>
      <c r="E49" s="7" t="inlineStr">
        <is>
          <t>Tutorial written FOR the next intern. Code, screenshots, pipeline() vs manual loading.</t>
        </is>
      </c>
      <c r="F49" s="7" t="inlineStr">
        <is>
          <t>Writing-for-others is the strongest test of understanding.</t>
        </is>
      </c>
      <c r="G49" s="7" t="inlineStr">
        <is>
          <t>Intern</t>
        </is>
      </c>
      <c r="H49" s="7" t="inlineStr">
        <is>
          <t>Not Started</t>
        </is>
      </c>
      <c r="I49" s="7" t="n"/>
      <c r="J49" s="7" t="n"/>
    </row>
    <row r="50" ht="61.5" customHeight="1">
      <c r="A50" s="7" t="inlineStr">
        <is>
          <t>Week 2</t>
        </is>
      </c>
      <c r="B50" s="8">
        <f>IF(ISNUMBER(Overview!B6),Overview!B6+14,"")</f>
        <v/>
      </c>
      <c r="C50" s="13" t="inlineStr">
        <is>
          <t>Anti-pattern</t>
        </is>
      </c>
      <c r="D50" s="7" t="inlineStr">
        <is>
          <t>Don't: fine-tune anything</t>
        </is>
      </c>
      <c r="E50" s="7" t="inlineStr">
        <is>
          <t>No LoRA, no PEFT, no full fine-tune. Inference-only.</t>
        </is>
      </c>
      <c r="F50" s="7" t="inlineStr">
        <is>
          <t>Half-trained models with no documentation. Inference depth &gt; training breadth here.</t>
        </is>
      </c>
      <c r="G50" s="7" t="inlineStr">
        <is>
          <t>Intern</t>
        </is>
      </c>
      <c r="H50" s="7" t="inlineStr">
        <is>
          <t>Not Started</t>
        </is>
      </c>
      <c r="I50" s="7" t="n"/>
      <c r="J50" s="7" t="n"/>
    </row>
    <row r="51" ht="61.5" customHeight="1">
      <c r="A51" s="7" t="inlineStr">
        <is>
          <t>Week 2</t>
        </is>
      </c>
      <c r="B51" s="8">
        <f>IF(ISNUMBER(Overview!B6),Overview!B6+14,"")</f>
        <v/>
      </c>
      <c r="C51" s="13" t="inlineStr">
        <is>
          <t>Anti-pattern</t>
        </is>
      </c>
      <c r="D51" s="7" t="inlineStr">
        <is>
          <t>Don't: pull in accelerate/bitsandbytes yet</t>
        </is>
      </c>
      <c r="E51" s="7" t="inlineStr">
        <is>
          <t>Skip distributed and quantization libraries.</t>
        </is>
      </c>
      <c r="F51" s="7" t="inlineStr">
        <is>
          <t>Premature optimization. Adds debugging surface without value.</t>
        </is>
      </c>
      <c r="G51" s="7" t="inlineStr">
        <is>
          <t>Intern</t>
        </is>
      </c>
      <c r="H51" s="7" t="inlineStr">
        <is>
          <t>Not Started</t>
        </is>
      </c>
      <c r="I51" s="7" t="n"/>
      <c r="J51" s="7" t="n"/>
    </row>
    <row r="52" ht="61.5" customHeight="1">
      <c r="A52" s="7" t="inlineStr">
        <is>
          <t>Week 3</t>
        </is>
      </c>
      <c r="B52" s="8">
        <f>IF(ISNUMBER(Overview!B6),Overview!B6+21,"")</f>
        <v/>
      </c>
      <c r="C52" s="10" t="inlineStr">
        <is>
          <t>Concept</t>
        </is>
      </c>
      <c r="D52" s="7" t="inlineStr">
        <is>
          <t>WER and CER</t>
        </is>
      </c>
      <c r="E52" s="7" t="inlineStr">
        <is>
          <t>(insertions + deletions + substitutions) / reference length. Use jiwer library.</t>
        </is>
      </c>
      <c r="F52" s="7" t="inlineStr">
        <is>
          <t>Only quantitative way to compare ASR systems.</t>
        </is>
      </c>
      <c r="G52" s="7" t="inlineStr">
        <is>
          <t>Intern</t>
        </is>
      </c>
      <c r="H52" s="7" t="inlineStr">
        <is>
          <t>Not Started</t>
        </is>
      </c>
      <c r="I52" s="7" t="n"/>
      <c r="J52" s="7" t="n"/>
    </row>
    <row r="53" ht="61.5" customHeight="1">
      <c r="A53" s="7" t="inlineStr">
        <is>
          <t>Week 3</t>
        </is>
      </c>
      <c r="B53" s="8">
        <f>IF(ISNUMBER(Overview!B6),Overview!B6+21,"")</f>
        <v/>
      </c>
      <c r="C53" s="10" t="inlineStr">
        <is>
          <t>Concept</t>
        </is>
      </c>
      <c r="D53" s="7" t="inlineStr">
        <is>
          <t>Code-mixing difficulty</t>
        </is>
      </c>
      <c r="E53" s="7" t="inlineStr">
        <is>
          <t>Why Hindi-English code-mix breaks most ASR models: tokenizer coverage, training-data distribution.</t>
        </is>
      </c>
      <c r="F53" s="7" t="inlineStr">
        <is>
          <t>India-specific. Where BharatGen most differentiates from Whisper.</t>
        </is>
      </c>
      <c r="G53" s="7" t="inlineStr">
        <is>
          <t>Intern</t>
        </is>
      </c>
      <c r="H53" s="7" t="inlineStr">
        <is>
          <t>Not Started</t>
        </is>
      </c>
      <c r="I53" s="7" t="n"/>
      <c r="J53" s="7" t="n"/>
    </row>
    <row r="54" ht="61.5" customHeight="1">
      <c r="A54" s="7" t="inlineStr">
        <is>
          <t>Week 3</t>
        </is>
      </c>
      <c r="B54" s="8">
        <f>IF(ISNUMBER(Overview!B6),Overview!B6+21,"")</f>
        <v/>
      </c>
      <c r="C54" s="10" t="inlineStr">
        <is>
          <t>Concept</t>
        </is>
      </c>
      <c r="D54" s="7" t="inlineStr">
        <is>
          <t>Beam search vs greedy decoding</t>
        </is>
      </c>
      <c r="E54" s="7" t="inlineStr">
        <is>
          <t>Greedy = take highest-probability token each step. Beam = keep top-k partial sequences. One paragraph each.</t>
        </is>
      </c>
      <c r="F54" s="7" t="inlineStr">
        <is>
          <t>Affects every .generate() call. Enough to know what knob to tweak.</t>
        </is>
      </c>
      <c r="G54" s="7" t="inlineStr">
        <is>
          <t>Intern</t>
        </is>
      </c>
      <c r="H54" s="7" t="inlineStr">
        <is>
          <t>Not Started</t>
        </is>
      </c>
      <c r="I54" s="7" t="n"/>
      <c r="J54" s="7" t="n"/>
    </row>
    <row r="55" ht="61.5" customHeight="1">
      <c r="A55" s="7" t="inlineStr">
        <is>
          <t>Week 3</t>
        </is>
      </c>
      <c r="B55" s="8">
        <f>IF(ISNUMBER(Overview!B6),Overview!B6+21,"")</f>
        <v/>
      </c>
      <c r="C55" s="11" t="inlineStr">
        <is>
          <t>Hands-on</t>
        </is>
      </c>
      <c r="D55" s="7" t="inlineStr">
        <is>
          <t>Run Shrutam-2 on real-world audio</t>
        </is>
      </c>
      <c r="E55" s="7" t="inlineStr">
        <is>
          <t>10 Hindi + 10 Tamil + 5 code-mixed clips. Real audio (YouTube, podcasts, his own recordings), NOT model card examples.</t>
        </is>
      </c>
      <c r="F55" s="7" t="inlineStr">
        <is>
          <t>Real audio surfaces real failure modes. Model card examples are cherry-picked.</t>
        </is>
      </c>
      <c r="G55" s="7" t="inlineStr">
        <is>
          <t>Intern</t>
        </is>
      </c>
      <c r="H55" s="7" t="inlineStr">
        <is>
          <t>Not Started</t>
        </is>
      </c>
      <c r="I55" s="7" t="n"/>
      <c r="J55" s="7" t="n"/>
    </row>
    <row r="56" ht="61.5" customHeight="1">
      <c r="A56" s="7" t="inlineStr">
        <is>
          <t>Week 3</t>
        </is>
      </c>
      <c r="B56" s="8">
        <f>IF(ISNUMBER(Overview!B6),Overview!B6+21,"")</f>
        <v/>
      </c>
      <c r="C56" s="11" t="inlineStr">
        <is>
          <t>Hands-on</t>
        </is>
      </c>
      <c r="D56" s="7" t="inlineStr">
        <is>
          <t>Compute WER vs Whisper large-v3</t>
        </is>
      </c>
      <c r="E56" s="7" t="inlineStr">
        <is>
          <t>Same audio, same ground truth, both models. Tabulate WER per language.</t>
        </is>
      </c>
      <c r="F56" s="7" t="inlineStr">
        <is>
          <t>Shrutam-2 in isolation is just numbers. Comparison gives meaning.</t>
        </is>
      </c>
      <c r="G56" s="7" t="inlineStr">
        <is>
          <t>Intern</t>
        </is>
      </c>
      <c r="H56" s="7" t="inlineStr">
        <is>
          <t>Not Started</t>
        </is>
      </c>
      <c r="I56" s="7" t="n"/>
      <c r="J56" s="7" t="n"/>
    </row>
    <row r="57" ht="61.5" customHeight="1">
      <c r="A57" s="7" t="inlineStr">
        <is>
          <t>Week 3</t>
        </is>
      </c>
      <c r="B57" s="8">
        <f>IF(ISNUMBER(Overview!B6),Overview!B6+21,"")</f>
        <v/>
      </c>
      <c r="C57" s="11" t="inlineStr">
        <is>
          <t>Profiling</t>
        </is>
      </c>
      <c r="D57" s="7" t="inlineStr">
        <is>
          <t>Latency, peak GPU memory, throughput</t>
        </is>
      </c>
      <c r="E57" s="7" t="inlineStr">
        <is>
          <t>torch.cuda.max_memory_allocated(), wall-clock time, audio-seconds per inference-second. Note hardware and batch size.</t>
        </is>
      </c>
      <c r="F57" s="7" t="inlineStr">
        <is>
          <t>Inference-stack thinking starts here. Discipline reused every subsequent week.</t>
        </is>
      </c>
      <c r="G57" s="7" t="inlineStr">
        <is>
          <t>Intern</t>
        </is>
      </c>
      <c r="H57" s="7" t="inlineStr">
        <is>
          <t>Not Started</t>
        </is>
      </c>
      <c r="I57" s="7" t="n"/>
      <c r="J57" s="7" t="n"/>
    </row>
    <row r="58" ht="61.5" customHeight="1">
      <c r="A58" s="7" t="inlineStr">
        <is>
          <t>Week 3</t>
        </is>
      </c>
      <c r="B58" s="8">
        <f>IF(ISNUMBER(Overview!B6),Overview!B6+21,"")</f>
        <v/>
      </c>
      <c r="C58" s="12" t="inlineStr">
        <is>
          <t>Deliverable</t>
        </is>
      </c>
      <c r="D58" s="7" t="inlineStr">
        <is>
          <t>week3_shrutam2_eval.md</t>
        </is>
      </c>
      <c r="E58" s="7" t="inlineStr">
        <is>
          <t>WER table, profiling table, 5 transcription failures with his hypothesis on each.</t>
        </is>
      </c>
      <c r="F58" s="7" t="inlineStr">
        <is>
          <t>'Why did it fail?' forces reasoning about model behavior.</t>
        </is>
      </c>
      <c r="G58" s="7" t="inlineStr">
        <is>
          <t>Intern</t>
        </is>
      </c>
      <c r="H58" s="7" t="inlineStr">
        <is>
          <t>Not Started</t>
        </is>
      </c>
      <c r="I58" s="7" t="n"/>
      <c r="J58" s="7" t="n"/>
    </row>
    <row r="59" ht="61.5" customHeight="1">
      <c r="A59" s="7" t="inlineStr">
        <is>
          <t>Week 3</t>
        </is>
      </c>
      <c r="B59" s="8">
        <f>IF(ISNUMBER(Overview!B6),Overview!B6+21,"")</f>
        <v/>
      </c>
      <c r="C59" s="13" t="inlineStr">
        <is>
          <t>Anti-pattern</t>
        </is>
      </c>
      <c r="D59" s="7" t="inlineStr">
        <is>
          <t>Don't: try to 'improve' the model</t>
        </is>
      </c>
      <c r="E59" s="7" t="inlineStr">
        <is>
          <t>No retraining, no domain adaptation. Evaluation only.</t>
        </is>
      </c>
      <c r="F59" s="7" t="inlineStr">
        <is>
          <t>Improvement is meaningless before measurement is solid.</t>
        </is>
      </c>
      <c r="G59" s="7" t="inlineStr">
        <is>
          <t>Intern</t>
        </is>
      </c>
      <c r="H59" s="7" t="inlineStr">
        <is>
          <t>Not Started</t>
        </is>
      </c>
      <c r="I59" s="7" t="n"/>
      <c r="J59" s="7" t="n"/>
    </row>
    <row r="60" ht="61.5" customHeight="1">
      <c r="A60" s="7" t="inlineStr">
        <is>
          <t>Week 3</t>
        </is>
      </c>
      <c r="B60" s="8">
        <f>IF(ISNUMBER(Overview!B6),Overview!B6+21,"")</f>
        <v/>
      </c>
      <c r="C60" s="13" t="inlineStr">
        <is>
          <t>Anti-pattern</t>
        </is>
      </c>
      <c r="D60" s="7" t="inlineStr">
        <is>
          <t>Don't: report numbers without hardware context</t>
        </is>
      </c>
      <c r="E60" s="7" t="inlineStr">
        <is>
          <t>Always note GPU, batch size, audio length, language.</t>
        </is>
      </c>
      <c r="F60" s="7" t="inlineStr">
        <is>
          <t>A latency number without context is noise.</t>
        </is>
      </c>
      <c r="G60" s="7" t="inlineStr">
        <is>
          <t>Intern</t>
        </is>
      </c>
      <c r="H60" s="7" t="inlineStr">
        <is>
          <t>Not Started</t>
        </is>
      </c>
      <c r="I60" s="7" t="n"/>
      <c r="J60" s="7" t="n"/>
    </row>
    <row r="61" ht="61.5" customHeight="1">
      <c r="A61" s="7" t="inlineStr">
        <is>
          <t>Week 4</t>
        </is>
      </c>
      <c r="B61" s="8">
        <f>IF(ISNUMBER(Overview!B6),Overview!B6+28,"")</f>
        <v/>
      </c>
      <c r="C61" s="10" t="inlineStr">
        <is>
          <t>Concept</t>
        </is>
      </c>
      <c r="D61" s="7" t="inlineStr">
        <is>
          <t>Embeddings - what they are</t>
        </is>
      </c>
      <c r="E61" s="7" t="inlineStr">
        <is>
          <t>A vector of numbers representing something (a token, a speaker, an image). Similar things -&gt; similar vectors. Speaker embedding = vector representing one person's voice.</t>
        </is>
      </c>
      <c r="F61" s="7" t="inlineStr">
        <is>
          <t>Foundational concept used everywhere from here. Defining explicitly prevents confusion in Week 4 onwards.</t>
        </is>
      </c>
      <c r="G61" s="7" t="inlineStr">
        <is>
          <t>Intern</t>
        </is>
      </c>
      <c r="H61" s="7" t="inlineStr">
        <is>
          <t>Not Started</t>
        </is>
      </c>
      <c r="I61" s="7" t="n"/>
      <c r="J61" s="7" t="n"/>
    </row>
    <row r="62" ht="61.5" customHeight="1">
      <c r="A62" s="7" t="inlineStr">
        <is>
          <t>Week 4</t>
        </is>
      </c>
      <c r="B62" s="8">
        <f>IF(ISNUMBER(Overview!B6),Overview!B6+28,"")</f>
        <v/>
      </c>
      <c r="C62" s="10" t="inlineStr">
        <is>
          <t>Concept</t>
        </is>
      </c>
      <c r="D62" s="7" t="inlineStr">
        <is>
          <t>Reference-guided voice conditioning</t>
        </is>
      </c>
      <c r="E62" s="7" t="inlineStr">
        <is>
          <t>Sooktam-2 takes a reference WAV + reference transcript and produces a speaker embedding. The TTS is conditioned on it — output mimics the reference voice.</t>
        </is>
      </c>
      <c r="F62" s="7" t="inlineStr">
        <is>
          <t>Distinguishes Sooktam-2 from description-conditioned TTS like Indic Parler.</t>
        </is>
      </c>
      <c r="G62" s="7" t="inlineStr">
        <is>
          <t>Intern</t>
        </is>
      </c>
      <c r="H62" s="7" t="inlineStr">
        <is>
          <t>Not Started</t>
        </is>
      </c>
      <c r="I62" s="7" t="n"/>
      <c r="J62" s="7" t="n"/>
    </row>
    <row r="63" ht="61.5" customHeight="1">
      <c r="A63" s="7" t="inlineStr">
        <is>
          <t>Week 4</t>
        </is>
      </c>
      <c r="B63" s="8">
        <f>IF(ISNUMBER(Overview!B6),Overview!B6+28,"")</f>
        <v/>
      </c>
      <c r="C63" s="10" t="inlineStr">
        <is>
          <t>Concept</t>
        </is>
      </c>
      <c r="D63" s="7" t="inlineStr">
        <is>
          <t>Vocoder vs acoustic model</t>
        </is>
      </c>
      <c r="E63" s="7" t="inlineStr">
        <is>
          <t>Acoustic model: text -&gt; mel-spectrogram. Vocoder: mel-spectrogram -&gt; waveform. Two stages, two failure modes.</t>
        </is>
      </c>
      <c r="F63" s="7" t="inlineStr">
        <is>
          <t>Helps reason about quality failures. Buzzy = vocoder. Wrong pronunciation = acoustic model. Different fixes.</t>
        </is>
      </c>
      <c r="G63" s="7" t="inlineStr">
        <is>
          <t>Intern</t>
        </is>
      </c>
      <c r="H63" s="7" t="inlineStr">
        <is>
          <t>Not Started</t>
        </is>
      </c>
      <c r="I63" s="7" t="n"/>
      <c r="J63" s="7" t="n"/>
    </row>
    <row r="64" ht="61.5" customHeight="1">
      <c r="A64" s="7" t="inlineStr">
        <is>
          <t>Week 4</t>
        </is>
      </c>
      <c r="B64" s="8">
        <f>IF(ISNUMBER(Overview!B6),Overview!B6+28,"")</f>
        <v/>
      </c>
      <c r="C64" s="10" t="inlineStr">
        <is>
          <t>Concept</t>
        </is>
      </c>
      <c r="D64" s="7" t="inlineStr">
        <is>
          <t>RTF (Real-Time Factor)</t>
        </is>
      </c>
      <c r="E64" s="7" t="inlineStr">
        <is>
          <t>RTF = generation_time / audio_duration. RTF &lt; 1 = faster than real-time.</t>
        </is>
      </c>
      <c r="F64" s="7" t="inlineStr">
        <is>
          <t>Standard TTS metric. Lets him compare Sooktam-2 to Indic Parler on a common axis.</t>
        </is>
      </c>
      <c r="G64" s="7" t="inlineStr">
        <is>
          <t>Intern</t>
        </is>
      </c>
      <c r="H64" s="7" t="inlineStr">
        <is>
          <t>Not Started</t>
        </is>
      </c>
      <c r="I64" s="7" t="n"/>
      <c r="J64" s="7" t="n"/>
    </row>
    <row r="65" ht="61.5" customHeight="1">
      <c r="A65" s="7" t="inlineStr">
        <is>
          <t>Week 4</t>
        </is>
      </c>
      <c r="B65" s="8">
        <f>IF(ISNUMBER(Overview!B6),Overview!B6+28,"")</f>
        <v/>
      </c>
      <c r="C65" s="11" t="inlineStr">
        <is>
          <t>Hands-on</t>
        </is>
      </c>
      <c r="D65" s="7" t="inlineStr">
        <is>
          <t>Generate 3 languages x 3 reference voices</t>
        </is>
      </c>
      <c r="E65" s="7" t="inlineStr">
        <is>
          <t>Hindi + Marathi + Tamil; three different reference speakers per language.</t>
        </is>
      </c>
      <c r="F65" s="7" t="inlineStr">
        <is>
          <t>Reveals model behavior across language and speaker dimensions.</t>
        </is>
      </c>
      <c r="G65" s="7" t="inlineStr">
        <is>
          <t>Intern</t>
        </is>
      </c>
      <c r="H65" s="7" t="inlineStr">
        <is>
          <t>Not Started</t>
        </is>
      </c>
      <c r="I65" s="7" t="n"/>
      <c r="J65" s="7" t="n"/>
    </row>
    <row r="66" ht="61.5" customHeight="1">
      <c r="A66" s="7" t="inlineStr">
        <is>
          <t>Week 4</t>
        </is>
      </c>
      <c r="B66" s="8">
        <f>IF(ISNUMBER(Overview!B6),Overview!B6+28,"")</f>
        <v/>
      </c>
      <c r="C66" s="11" t="inlineStr">
        <is>
          <t>Hands-on</t>
        </is>
      </c>
      <c r="D66" s="7" t="inlineStr">
        <is>
          <t>Edge cases</t>
        </is>
      </c>
      <c r="E66" s="7" t="inlineStr">
        <is>
          <t>Long target text (&gt;500 chars). English loanwords in Hindi. Numbers and currency (2026, Rs.450). Code-mixed input.</t>
        </is>
      </c>
      <c r="F66" s="7" t="inlineStr">
        <is>
          <t>These are where production deployments break. Document now.</t>
        </is>
      </c>
      <c r="G66" s="7" t="inlineStr">
        <is>
          <t>Intern</t>
        </is>
      </c>
      <c r="H66" s="7" t="inlineStr">
        <is>
          <t>Not Started</t>
        </is>
      </c>
      <c r="I66" s="7" t="n"/>
      <c r="J66" s="7" t="n"/>
    </row>
    <row r="67" ht="61.5" customHeight="1">
      <c r="A67" s="7" t="inlineStr">
        <is>
          <t>Week 4</t>
        </is>
      </c>
      <c r="B67" s="8">
        <f>IF(ISNUMBER(Overview!B6),Overview!B6+28,"")</f>
        <v/>
      </c>
      <c r="C67" s="11" t="inlineStr">
        <is>
          <t>Hands-on</t>
        </is>
      </c>
      <c r="D67" s="7" t="inlineStr">
        <is>
          <t>Compare with ai4bharat/indic-parler-tts</t>
        </is>
      </c>
      <c r="E67" s="7" t="inlineStr">
        <is>
          <t>Same Hindi sentences, same listener. Reference-conditioned vs description-conditioned paradigms.</t>
        </is>
      </c>
      <c r="F67" s="7" t="inlineStr">
        <is>
          <t>Forces articulating the trade-off.</t>
        </is>
      </c>
      <c r="G67" s="7" t="inlineStr">
        <is>
          <t>Intern</t>
        </is>
      </c>
      <c r="H67" s="7" t="inlineStr">
        <is>
          <t>Not Started</t>
        </is>
      </c>
      <c r="I67" s="7" t="n"/>
      <c r="J67" s="7" t="n"/>
    </row>
    <row r="68" ht="61.5" customHeight="1">
      <c r="A68" s="7" t="inlineStr">
        <is>
          <t>Week 4</t>
        </is>
      </c>
      <c r="B68" s="8">
        <f>IF(ISNUMBER(Overview!B6),Overview!B6+28,"")</f>
        <v/>
      </c>
      <c r="C68" s="11" t="inlineStr">
        <is>
          <t>Profiling</t>
        </is>
      </c>
      <c r="D68" s="7" t="inlineStr">
        <is>
          <t>Latency, RTF, GPU memory</t>
        </is>
      </c>
      <c r="E68" s="7" t="inlineStr">
        <is>
          <t>Same profiling discipline as Week 3.</t>
        </is>
      </c>
      <c r="F68" s="7" t="inlineStr">
        <is>
          <t>Builds the habit.</t>
        </is>
      </c>
      <c r="G68" s="7" t="inlineStr">
        <is>
          <t>Intern</t>
        </is>
      </c>
      <c r="H68" s="7" t="inlineStr">
        <is>
          <t>Not Started</t>
        </is>
      </c>
      <c r="I68" s="7" t="n"/>
      <c r="J68" s="7" t="n"/>
    </row>
    <row r="69" ht="61.5" customHeight="1">
      <c r="A69" s="7" t="inlineStr">
        <is>
          <t>Week 4</t>
        </is>
      </c>
      <c r="B69" s="8">
        <f>IF(ISNUMBER(Overview!B6),Overview!B6+28,"")</f>
        <v/>
      </c>
      <c r="C69" s="12" t="inlineStr">
        <is>
          <t>Deliverable</t>
        </is>
      </c>
      <c r="D69" s="7" t="inlineStr">
        <is>
          <t>week4_sooktam2_eval.md + audio samples</t>
        </is>
      </c>
      <c r="E69" s="7" t="inlineStr">
        <is>
          <t>Markdown + committed audio. Indic Parler comparison. Tabulated profiling. Edge-case failure samples.</t>
        </is>
      </c>
      <c r="F69" s="7" t="inlineStr">
        <is>
          <t>Claims about audio quality MUST be backed by listenable artifacts.</t>
        </is>
      </c>
      <c r="G69" s="7" t="inlineStr">
        <is>
          <t>Intern</t>
        </is>
      </c>
      <c r="H69" s="7" t="inlineStr">
        <is>
          <t>Not Started</t>
        </is>
      </c>
      <c r="I69" s="7" t="n"/>
      <c r="J69" s="7" t="n"/>
    </row>
    <row r="70" ht="61.5" customHeight="1">
      <c r="A70" s="7" t="inlineStr">
        <is>
          <t>Week 4</t>
        </is>
      </c>
      <c r="B70" s="8">
        <f>IF(ISNUMBER(Overview!B6),Overview!B6+28,"")</f>
        <v/>
      </c>
      <c r="C70" s="13" t="inlineStr">
        <is>
          <t>Anti-pattern</t>
        </is>
      </c>
      <c r="D70" s="7" t="inlineStr">
        <is>
          <t>Don't: claim quality without samples</t>
        </is>
      </c>
      <c r="E70" s="7" t="inlineStr">
        <is>
          <t>Every quality assertion links to a WAV file.</t>
        </is>
      </c>
      <c r="F70" s="7" t="inlineStr">
        <is>
          <t>Untestable claims become folk wisdom.</t>
        </is>
      </c>
      <c r="G70" s="7" t="inlineStr">
        <is>
          <t>Intern</t>
        </is>
      </c>
      <c r="H70" s="7" t="inlineStr">
        <is>
          <t>Not Started</t>
        </is>
      </c>
      <c r="I70" s="7" t="n"/>
      <c r="J70" s="7" t="n"/>
    </row>
    <row r="71" ht="61.5" customHeight="1">
      <c r="A71" s="7" t="inlineStr">
        <is>
          <t>Week 4</t>
        </is>
      </c>
      <c r="B71" s="8">
        <f>IF(ISNUMBER(Overview!B6),Overview!B6+28,"")</f>
        <v/>
      </c>
      <c r="C71" s="13" t="inlineStr">
        <is>
          <t>Anti-pattern</t>
        </is>
      </c>
      <c r="D71" s="7" t="inlineStr">
        <is>
          <t>Don't: forget reference clip quality is a ceiling</t>
        </is>
      </c>
      <c r="E71" s="7" t="inlineStr">
        <is>
          <t>A noisy/unclear reference produces mediocre output regardless of model.</t>
        </is>
      </c>
      <c r="F71" s="7" t="inlineStr">
        <is>
          <t>Garbage in, garbage out. Common beginner error.</t>
        </is>
      </c>
      <c r="G71" s="7" t="inlineStr">
        <is>
          <t>Intern</t>
        </is>
      </c>
      <c r="H71" s="7" t="inlineStr">
        <is>
          <t>Not Started</t>
        </is>
      </c>
      <c r="I71" s="7" t="n"/>
      <c r="J71" s="7" t="n"/>
    </row>
    <row r="72" ht="61.5" customHeight="1">
      <c r="A72" s="7" t="inlineStr">
        <is>
          <t>Week 5</t>
        </is>
      </c>
      <c r="B72" s="8">
        <f>IF(ISNUMBER(Overview!B6),Overview!B6+35,"")</f>
        <v/>
      </c>
      <c r="C72" s="10" t="inlineStr">
        <is>
          <t>Concept</t>
        </is>
      </c>
      <c r="D72" s="7" t="inlineStr">
        <is>
          <t>Sequence-to-sequence (seq2seq)</t>
        </is>
      </c>
      <c r="E72" s="7" t="inlineStr">
        <is>
          <t>Input sequence -&gt; output sequence. ASR is audio-seq -&gt; text-seq. TTS is text-seq -&gt; audio-seq. Translation is text-seq -&gt; text-seq. Same family.</t>
        </is>
      </c>
      <c r="F72" s="7" t="inlineStr">
        <is>
          <t>Naming the abstraction unifies three apparently different models. Reduces cognitive load.</t>
        </is>
      </c>
      <c r="G72" s="7" t="inlineStr">
        <is>
          <t>Intern</t>
        </is>
      </c>
      <c r="H72" s="7" t="inlineStr">
        <is>
          <t>Not Started</t>
        </is>
      </c>
      <c r="I72" s="7" t="n"/>
      <c r="J72" s="7" t="n"/>
    </row>
    <row r="73" ht="61.5" customHeight="1">
      <c r="A73" s="7" t="inlineStr">
        <is>
          <t>Week 5</t>
        </is>
      </c>
      <c r="B73" s="8">
        <f>IF(ISNUMBER(Overview!B6),Overview!B6+35,"")</f>
        <v/>
      </c>
      <c r="C73" s="10" t="inlineStr">
        <is>
          <t>Concept</t>
        </is>
      </c>
      <c r="D73" s="7" t="inlineStr">
        <is>
          <t>Encoder vs decoder</t>
        </is>
      </c>
      <c r="E73" s="7" t="inlineStr">
        <is>
          <t>Encoder = reads the whole input and builds an internal representation. Decoder = generates output one token at a time, looking at encoder's representation.</t>
        </is>
      </c>
      <c r="F73" s="7" t="inlineStr">
        <is>
          <t>Architecture intuition for why translation models look different from chatbot LLMs.</t>
        </is>
      </c>
      <c r="G73" s="7" t="inlineStr">
        <is>
          <t>Intern</t>
        </is>
      </c>
      <c r="H73" s="7" t="inlineStr">
        <is>
          <t>Not Started</t>
        </is>
      </c>
      <c r="I73" s="7" t="n"/>
      <c r="J73" s="7" t="n"/>
    </row>
    <row r="74" ht="61.5" customHeight="1">
      <c r="A74" s="7" t="inlineStr">
        <is>
          <t>Week 5</t>
        </is>
      </c>
      <c r="B74" s="8">
        <f>IF(ISNUMBER(Overview!B6),Overview!B6+35,"")</f>
        <v/>
      </c>
      <c r="C74" s="10" t="inlineStr">
        <is>
          <t>Concept</t>
        </is>
      </c>
      <c r="D74" s="7" t="inlineStr">
        <is>
          <t>Autoregressive generation</t>
        </is>
      </c>
      <c r="E74" s="7" t="inlineStr">
        <is>
          <t>Generates token by token, each new token depends on previously generated tokens. Builds on Week 2 logits/softmax: at each step, model outputs logits, picks next token.</t>
        </is>
      </c>
      <c r="F74" s="7" t="inlineStr">
        <is>
          <t>Connects to earlier softmax concept. Explains why latency scales with output length.</t>
        </is>
      </c>
      <c r="G74" s="7" t="inlineStr">
        <is>
          <t>Intern</t>
        </is>
      </c>
      <c r="H74" s="7" t="inlineStr">
        <is>
          <t>Not Started</t>
        </is>
      </c>
      <c r="I74" s="7" t="n"/>
      <c r="J74" s="7" t="n"/>
    </row>
    <row r="75" ht="61.5" customHeight="1">
      <c r="A75" s="7" t="inlineStr">
        <is>
          <t>Week 5</t>
        </is>
      </c>
      <c r="B75" s="8">
        <f>IF(ISNUMBER(Overview!B6),Overview!B6+35,"")</f>
        <v/>
      </c>
      <c r="C75" s="10" t="inlineStr">
        <is>
          <t>Concept</t>
        </is>
      </c>
      <c r="D75" s="7" t="inlineStr">
        <is>
          <t>Beam search - experienced</t>
        </is>
      </c>
      <c r="E75" s="7" t="inlineStr">
        <is>
          <t>Now actually set num_beams=1, 4, 8. Observe output and latency changes.</t>
        </is>
      </c>
      <c r="F75" s="7" t="inlineStr">
        <is>
          <t>Week 3 introduced concept; Week 5 experiences it.</t>
        </is>
      </c>
      <c r="G75" s="7" t="inlineStr">
        <is>
          <t>Intern</t>
        </is>
      </c>
      <c r="H75" s="7" t="inlineStr">
        <is>
          <t>Not Started</t>
        </is>
      </c>
      <c r="I75" s="7" t="n"/>
      <c r="J75" s="7" t="n"/>
    </row>
    <row r="76" ht="61.5" customHeight="1">
      <c r="A76" s="7" t="inlineStr">
        <is>
          <t>Week 5</t>
        </is>
      </c>
      <c r="B76" s="8">
        <f>IF(ISNUMBER(Overview!B6),Overview!B6+35,"")</f>
        <v/>
      </c>
      <c r="C76" s="11" t="inlineStr">
        <is>
          <t>Hands-on</t>
        </is>
      </c>
      <c r="D76" s="7" t="inlineStr">
        <is>
          <t>Run IndicTrans2 both directions</t>
        </is>
      </c>
      <c r="E76" s="7" t="inlineStr">
        <is>
          <t>ai4bharat/indictrans2-indic-en-1B and en-indic-1B. 30 sentences across 4 languages.</t>
        </is>
      </c>
      <c r="F76" s="7" t="inlineStr">
        <is>
          <t>Practical breadth.</t>
        </is>
      </c>
      <c r="G76" s="7" t="inlineStr">
        <is>
          <t>Intern</t>
        </is>
      </c>
      <c r="H76" s="7" t="inlineStr">
        <is>
          <t>Not Started</t>
        </is>
      </c>
      <c r="I76" s="7" t="n"/>
      <c r="J76" s="7" t="n"/>
    </row>
    <row r="77" ht="61.5" customHeight="1">
      <c r="A77" s="7" t="inlineStr">
        <is>
          <t>Week 5</t>
        </is>
      </c>
      <c r="B77" s="8">
        <f>IF(ISNUMBER(Overview!B6),Overview!B6+35,"")</f>
        <v/>
      </c>
      <c r="C77" s="11" t="inlineStr">
        <is>
          <t>Hands-on</t>
        </is>
      </c>
      <c r="D77" s="7" t="inlineStr">
        <is>
          <t>Edge cases</t>
        </is>
      </c>
      <c r="E77" s="7" t="inlineStr">
        <is>
          <t>Technical/legal Hindi, casual WhatsApp text, numbers and dates, code-mixed input.</t>
        </is>
      </c>
      <c r="F77" s="7" t="inlineStr">
        <is>
          <t>Tests robustness across registers.</t>
        </is>
      </c>
      <c r="G77" s="7" t="inlineStr">
        <is>
          <t>Intern</t>
        </is>
      </c>
      <c r="H77" s="7" t="inlineStr">
        <is>
          <t>Not Started</t>
        </is>
      </c>
      <c r="I77" s="7" t="n"/>
      <c r="J77" s="7" t="n"/>
    </row>
    <row r="78" ht="61.5" customHeight="1">
      <c r="A78" s="7" t="inlineStr">
        <is>
          <t>Week 5</t>
        </is>
      </c>
      <c r="B78" s="8">
        <f>IF(ISNUMBER(Overview!B6),Overview!B6+35,"")</f>
        <v/>
      </c>
      <c r="C78" s="11" t="inlineStr">
        <is>
          <t>Hands-on</t>
        </is>
      </c>
      <c r="D78" s="7" t="inlineStr">
        <is>
          <t>Round-trip translation</t>
        </is>
      </c>
      <c r="E78" s="7" t="inlineStr">
        <is>
          <t>Hindi -&gt; English -&gt; Hindi for 10 sentences. Compare to originals for meaning drift.</t>
        </is>
      </c>
      <c r="F78" s="7" t="inlineStr">
        <is>
          <t>Quick quality signal without expensive BLEU.</t>
        </is>
      </c>
      <c r="G78" s="7" t="inlineStr">
        <is>
          <t>Intern</t>
        </is>
      </c>
      <c r="H78" s="7" t="inlineStr">
        <is>
          <t>Not Started</t>
        </is>
      </c>
      <c r="I78" s="7" t="n"/>
      <c r="J78" s="7" t="n"/>
    </row>
    <row r="79" ht="61.5" customHeight="1">
      <c r="A79" s="7" t="inlineStr">
        <is>
          <t>Week 5</t>
        </is>
      </c>
      <c r="B79" s="8">
        <f>IF(ISNUMBER(Overview!B6),Overview!B6+35,"")</f>
        <v/>
      </c>
      <c r="C79" s="11" t="inlineStr">
        <is>
          <t>Profiling</t>
        </is>
      </c>
      <c r="D79" s="7" t="inlineStr">
        <is>
          <t>Latency, GPU memory, tokens/sec</t>
        </is>
      </c>
      <c r="E79" s="7" t="inlineStr">
        <is>
          <t>Same profiling discipline.</t>
        </is>
      </c>
      <c r="F79" s="7" t="inlineStr">
        <is>
          <t>Continuity.</t>
        </is>
      </c>
      <c r="G79" s="7" t="inlineStr">
        <is>
          <t>Intern</t>
        </is>
      </c>
      <c r="H79" s="7" t="inlineStr">
        <is>
          <t>Not Started</t>
        </is>
      </c>
      <c r="I79" s="7" t="n"/>
      <c r="J79" s="7" t="n"/>
    </row>
    <row r="80" ht="61.5" customHeight="1">
      <c r="A80" s="7" t="inlineStr">
        <is>
          <t>Week 5</t>
        </is>
      </c>
      <c r="B80" s="8">
        <f>IF(ISNUMBER(Overview!B6),Overview!B6+35,"")</f>
        <v/>
      </c>
      <c r="C80" s="12" t="inlineStr">
        <is>
          <t>Deliverable</t>
        </is>
      </c>
      <c r="D80" s="7" t="inlineStr">
        <is>
          <t>week5_indictrans2_eval.md + translate.py CLI</t>
        </is>
      </c>
      <c r="E80" s="7" t="inlineStr">
        <is>
          <t>Eval doc + a small CLI: `python translate.py --src hi --tgt en --text "..."`.</t>
        </is>
      </c>
      <c r="F80" s="7" t="inlineStr">
        <is>
          <t>First reusable tool. Imported into Week 6 pipeline.</t>
        </is>
      </c>
      <c r="G80" s="7" t="inlineStr">
        <is>
          <t>Intern</t>
        </is>
      </c>
      <c r="H80" s="7" t="inlineStr">
        <is>
          <t>Not Started</t>
        </is>
      </c>
      <c r="I80" s="7" t="n"/>
      <c r="J80" s="7" t="n"/>
    </row>
    <row r="81" ht="61.5" customHeight="1">
      <c r="A81" s="7" t="inlineStr">
        <is>
          <t>Week 5</t>
        </is>
      </c>
      <c r="B81" s="8">
        <f>IF(ISNUMBER(Overview!B6),Overview!B6+35,"")</f>
        <v/>
      </c>
      <c r="C81" s="13" t="inlineStr">
        <is>
          <t>Anti-pattern</t>
        </is>
      </c>
      <c r="D81" s="7" t="inlineStr">
        <is>
          <t>Don't: treat BLEU as the only metric</t>
        </is>
      </c>
      <c r="E81" s="7" t="inlineStr">
        <is>
          <t>BLEU + round-trip + human spot-checks.</t>
        </is>
      </c>
      <c r="F81" s="7" t="inlineStr">
        <is>
          <t>BLEU is brittle for morphologically rich Indic languages.</t>
        </is>
      </c>
      <c r="G81" s="7" t="inlineStr">
        <is>
          <t>Intern</t>
        </is>
      </c>
      <c r="H81" s="7" t="inlineStr">
        <is>
          <t>Not Started</t>
        </is>
      </c>
      <c r="I81" s="7" t="n"/>
      <c r="J81" s="7" t="n"/>
    </row>
    <row r="82" ht="61.5" customHeight="1">
      <c r="A82" s="7" t="inlineStr">
        <is>
          <t>Week 6</t>
        </is>
      </c>
      <c r="B82" s="8">
        <f>IF(ISNUMBER(Overview!B6),Overview!B6+42,"")</f>
        <v/>
      </c>
      <c r="C82" s="10" t="inlineStr">
        <is>
          <t>Concept</t>
        </is>
      </c>
      <c r="D82" s="7" t="inlineStr">
        <is>
          <t>Pipeline / model composition</t>
        </is>
      </c>
      <c r="E82" s="7" t="inlineStr">
        <is>
          <t>How models compose. State between models (audio buffers, intermediate text, language metadata).</t>
        </is>
      </c>
      <c r="F82" s="7" t="inlineStr">
        <is>
          <t>Composition has its own failure modes that individual models don't.</t>
        </is>
      </c>
      <c r="G82" s="7" t="inlineStr">
        <is>
          <t>Intern</t>
        </is>
      </c>
      <c r="H82" s="7" t="inlineStr">
        <is>
          <t>Not Started</t>
        </is>
      </c>
      <c r="I82" s="7" t="n"/>
      <c r="J82" s="7" t="n"/>
    </row>
    <row r="83" ht="61.5" customHeight="1">
      <c r="A83" s="7" t="inlineStr">
        <is>
          <t>Week 6</t>
        </is>
      </c>
      <c r="B83" s="8">
        <f>IF(ISNUMBER(Overview!B6),Overview!B6+42,"")</f>
        <v/>
      </c>
      <c r="C83" s="10" t="inlineStr">
        <is>
          <t>Concept</t>
        </is>
      </c>
      <c r="D83" s="7" t="inlineStr">
        <is>
          <t>GPU memory budgeting</t>
        </is>
      </c>
      <c r="E83" s="7" t="inlineStr">
        <is>
          <t>Three models, finite GPU. Decision: keep all loaded, swap, or offload to CPU? Trade-offs.</t>
        </is>
      </c>
      <c r="F83" s="7" t="inlineStr">
        <is>
          <t>The inference-stack lesson. The engineering judgment is what we want him to develop.</t>
        </is>
      </c>
      <c r="G83" s="7" t="inlineStr">
        <is>
          <t>Intern</t>
        </is>
      </c>
      <c r="H83" s="7" t="inlineStr">
        <is>
          <t>Not Started</t>
        </is>
      </c>
      <c r="I83" s="7" t="n"/>
      <c r="J83" s="7" t="n"/>
    </row>
    <row r="84" ht="61.5" customHeight="1">
      <c r="A84" s="7" t="inlineStr">
        <is>
          <t>Week 6</t>
        </is>
      </c>
      <c r="B84" s="8">
        <f>IF(ISNUMBER(Overview!B6),Overview!B6+42,"")</f>
        <v/>
      </c>
      <c r="C84" s="11" t="inlineStr">
        <is>
          <t>Hands-on</t>
        </is>
      </c>
      <c r="D84" s="7" t="inlineStr">
        <is>
          <t>Wire Shrutam-2 + IndicTrans2 + Sooktam-2</t>
        </is>
      </c>
      <c r="E84" s="7" t="inlineStr">
        <is>
          <t>Audio -&gt; Shrutam-2 (Hindi audio -&gt; Hindi text) -&gt; IndicTrans2 (Hindi -&gt; English) -&gt; Sooktam-2 (English text -&gt; English audio).</t>
        </is>
      </c>
      <c r="F84" s="7" t="inlineStr">
        <is>
          <t>The actual goal of the internship.</t>
        </is>
      </c>
      <c r="G84" s="7" t="inlineStr">
        <is>
          <t>Intern</t>
        </is>
      </c>
      <c r="H84" s="7" t="inlineStr">
        <is>
          <t>Not Started</t>
        </is>
      </c>
      <c r="I84" s="7" t="n"/>
      <c r="J84" s="7" t="n"/>
    </row>
    <row r="85" ht="61.5" customHeight="1">
      <c r="A85" s="7" t="inlineStr">
        <is>
          <t>Week 6</t>
        </is>
      </c>
      <c r="B85" s="8">
        <f>IF(ISNUMBER(Overview!B6),Overview!B6+42,"")</f>
        <v/>
      </c>
      <c r="C85" s="11" t="inlineStr">
        <is>
          <t>Hands-on</t>
        </is>
      </c>
      <c r="D85" s="7" t="inlineStr">
        <is>
          <t>Gradio UI</t>
        </is>
      </c>
      <c r="E85" s="7" t="inlineStr">
        <is>
          <t>File or mic input, source/target language dropdowns, audio player output. Run on localhost.</t>
        </is>
      </c>
      <c r="F85" s="7" t="inlineStr">
        <is>
          <t>Makes the demo accessible to non-engineers.</t>
        </is>
      </c>
      <c r="G85" s="7" t="inlineStr">
        <is>
          <t>Intern</t>
        </is>
      </c>
      <c r="H85" s="7" t="inlineStr">
        <is>
          <t>Not Started</t>
        </is>
      </c>
      <c r="I85" s="7" t="n"/>
      <c r="J85" s="7" t="n"/>
    </row>
    <row r="86" ht="61.5" customHeight="1">
      <c r="A86" s="7" t="inlineStr">
        <is>
          <t>Week 6</t>
        </is>
      </c>
      <c r="B86" s="8">
        <f>IF(ISNUMBER(Overview!B6),Overview!B6+42,"")</f>
        <v/>
      </c>
      <c r="C86" s="11" t="inlineStr">
        <is>
          <t>Hands-on</t>
        </is>
      </c>
      <c r="D86" s="7" t="inlineStr">
        <is>
          <t>Decide GPU placement strategy</t>
        </is>
      </c>
      <c r="E86" s="7" t="inlineStr">
        <is>
          <t>All three loaded? Lazy load? Evict between calls? Pick one, defend in writing, document.</t>
        </is>
      </c>
      <c r="F86" s="7" t="inlineStr">
        <is>
          <t>Defending the choice is more valuable than picking the optimal one.</t>
        </is>
      </c>
      <c r="G86" s="7" t="inlineStr">
        <is>
          <t>Intern</t>
        </is>
      </c>
      <c r="H86" s="7" t="inlineStr">
        <is>
          <t>Not Started</t>
        </is>
      </c>
      <c r="I86" s="7" t="n"/>
      <c r="J86" s="7" t="n"/>
    </row>
    <row r="87" ht="61.5" customHeight="1">
      <c r="A87" s="7" t="inlineStr">
        <is>
          <t>Week 6</t>
        </is>
      </c>
      <c r="B87" s="8">
        <f>IF(ISNUMBER(Overview!B6),Overview!B6+42,"")</f>
        <v/>
      </c>
      <c r="C87" s="11" t="inlineStr">
        <is>
          <t>Hands-on</t>
        </is>
      </c>
      <c r="D87" s="7" t="inlineStr">
        <is>
          <t>Handle 3 failure modes only</t>
        </is>
      </c>
      <c r="E87" s="7" t="inlineStr">
        <is>
          <t>Empty transcription. Very long input audio (&gt;5 min). Translation timeout.</t>
        </is>
      </c>
      <c r="F87" s="7" t="inlineStr">
        <is>
          <t>Bounded scope. Three well &gt; fifteen poorly.</t>
        </is>
      </c>
      <c r="G87" s="7" t="inlineStr">
        <is>
          <t>Intern</t>
        </is>
      </c>
      <c r="H87" s="7" t="inlineStr">
        <is>
          <t>Not Started</t>
        </is>
      </c>
      <c r="I87" s="7" t="n"/>
      <c r="J87" s="7" t="n"/>
    </row>
    <row r="88" ht="61.5" customHeight="1">
      <c r="A88" s="7" t="inlineStr">
        <is>
          <t>Week 6</t>
        </is>
      </c>
      <c r="B88" s="8">
        <f>IF(ISNUMBER(Overview!B6),Overview!B6+42,"")</f>
        <v/>
      </c>
      <c r="C88" s="11" t="inlineStr">
        <is>
          <t>Profiling</t>
        </is>
      </c>
      <c r="D88" s="7" t="inlineStr">
        <is>
          <t>Pipeline-level latency</t>
        </is>
      </c>
      <c r="E88" s="7" t="inlineStr">
        <is>
          <t>End-to-end wall clock for a 10s audio input. Per-stage breakdown.</t>
        </is>
      </c>
      <c r="F88" s="7" t="inlineStr">
        <is>
          <t>Sets up Week 7's end-to-end profiling.</t>
        </is>
      </c>
      <c r="G88" s="7" t="inlineStr">
        <is>
          <t>Intern</t>
        </is>
      </c>
      <c r="H88" s="7" t="inlineStr">
        <is>
          <t>Not Started</t>
        </is>
      </c>
      <c r="I88" s="7" t="n"/>
      <c r="J88" s="7" t="n"/>
    </row>
    <row r="89" ht="61.5" customHeight="1">
      <c r="A89" s="7" t="inlineStr">
        <is>
          <t>Week 6</t>
        </is>
      </c>
      <c r="B89" s="8">
        <f>IF(ISNUMBER(Overview!B6),Overview!B6+42,"")</f>
        <v/>
      </c>
      <c r="C89" s="12" t="inlineStr">
        <is>
          <t>Deliverable</t>
        </is>
      </c>
      <c r="D89" s="7" t="inlineStr">
        <is>
          <t>Gradio demo + architecture.md</t>
        </is>
      </c>
      <c r="E89" s="7" t="inlineStr">
        <is>
          <t>Hand-drawn architecture: data flow, model placements, memory budget, failure modes.</t>
        </is>
      </c>
      <c r="F89" s="7" t="inlineStr">
        <is>
          <t>Drawing tests data-flow understanding.</t>
        </is>
      </c>
      <c r="G89" s="7" t="inlineStr">
        <is>
          <t>Intern</t>
        </is>
      </c>
      <c r="H89" s="7" t="inlineStr">
        <is>
          <t>Not Started</t>
        </is>
      </c>
      <c r="I89" s="7" t="n"/>
      <c r="J89" s="7" t="n"/>
    </row>
    <row r="90" ht="61.5" customHeight="1">
      <c r="A90" s="7" t="inlineStr">
        <is>
          <t>Week 6</t>
        </is>
      </c>
      <c r="B90" s="8">
        <f>IF(ISNUMBER(Overview!B6),Overview!B6+42,"")</f>
        <v/>
      </c>
      <c r="C90" s="13" t="inlineStr">
        <is>
          <t>Anti-pattern</t>
        </is>
      </c>
      <c r="D90" s="7" t="inlineStr">
        <is>
          <t>Don't: streaming or realtime</t>
        </is>
      </c>
      <c r="E90" s="7" t="inlineStr">
        <is>
          <t>No WebSockets. Request-response only.</t>
        </is>
      </c>
      <c r="F90" s="7" t="inlineStr">
        <is>
          <t>Streaming is its own multi-week project.</t>
        </is>
      </c>
      <c r="G90" s="7" t="inlineStr">
        <is>
          <t>Intern</t>
        </is>
      </c>
      <c r="H90" s="7" t="inlineStr">
        <is>
          <t>Not Started</t>
        </is>
      </c>
      <c r="I90" s="7" t="n"/>
      <c r="J90" s="7" t="n"/>
    </row>
    <row r="91" ht="61.5" customHeight="1">
      <c r="A91" s="7" t="inlineStr">
        <is>
          <t>Week 6</t>
        </is>
      </c>
      <c r="B91" s="8">
        <f>IF(ISNUMBER(Overview!B6),Overview!B6+42,"")</f>
        <v/>
      </c>
      <c r="C91" s="13" t="inlineStr">
        <is>
          <t>Anti-pattern</t>
        </is>
      </c>
      <c r="D91" s="7" t="inlineStr">
        <is>
          <t>Don't: containerize</t>
        </is>
      </c>
      <c r="E91" s="7" t="inlineStr">
        <is>
          <t>No Docker. Plain Python + Gradio.</t>
        </is>
      </c>
      <c r="F91" s="7" t="inlineStr">
        <is>
          <t>Containerization without deployment target is theater.</t>
        </is>
      </c>
      <c r="G91" s="7" t="inlineStr">
        <is>
          <t>Intern</t>
        </is>
      </c>
      <c r="H91" s="7" t="inlineStr">
        <is>
          <t>Not Started</t>
        </is>
      </c>
      <c r="I91" s="7" t="n"/>
      <c r="J91" s="7" t="n"/>
    </row>
    <row r="92" ht="61.5" customHeight="1">
      <c r="A92" s="7" t="inlineStr">
        <is>
          <t>Week 7</t>
        </is>
      </c>
      <c r="B92" s="8">
        <f>IF(ISNUMBER(Overview!B6),Overview!B6+49,"")</f>
        <v/>
      </c>
      <c r="C92" s="11" t="inlineStr">
        <is>
          <t>Hands-on</t>
        </is>
      </c>
      <c r="D92" s="7" t="inlineStr">
        <is>
          <t>End-to-end profiling: ms breakdown</t>
        </is>
      </c>
      <c r="E92" s="7" t="inlineStr">
        <is>
          <t>For a 10s Hindi -&gt; English audio task: total ms, ASR ms, translate ms, TTS ms, overhead ms. Single diagram.</t>
        </is>
      </c>
      <c r="F92" s="7" t="inlineStr">
        <is>
          <t>Synthesizes every week's profiling. The diagram goes on the wall.</t>
        </is>
      </c>
      <c r="G92" s="7" t="inlineStr">
        <is>
          <t>Intern</t>
        </is>
      </c>
      <c r="H92" s="7" t="inlineStr">
        <is>
          <t>Not Started</t>
        </is>
      </c>
      <c r="I92" s="7" t="n"/>
      <c r="J92" s="7" t="n"/>
    </row>
    <row r="93" ht="61.5" customHeight="1">
      <c r="A93" s="7" t="inlineStr">
        <is>
          <t>Week 7</t>
        </is>
      </c>
      <c r="B93" s="8">
        <f>IF(ISNUMBER(Overview!B6),Overview!B6+49,"")</f>
        <v/>
      </c>
      <c r="C93" s="11" t="inlineStr">
        <is>
          <t>Hands-on</t>
        </is>
      </c>
      <c r="D93" s="7" t="inlineStr">
        <is>
          <t>Memory profiling</t>
        </is>
      </c>
      <c r="E93" s="7" t="inlineStr">
        <is>
          <t>Peak GPU memory per model. Peak with all three loaded concurrently. Implication: GPU tier needed.</t>
        </is>
      </c>
      <c r="F93" s="7" t="inlineStr">
        <is>
          <t>Concrete answer to a recurring product question.</t>
        </is>
      </c>
      <c r="G93" s="7" t="inlineStr">
        <is>
          <t>Intern</t>
        </is>
      </c>
      <c r="H93" s="7" t="inlineStr">
        <is>
          <t>Not Started</t>
        </is>
      </c>
      <c r="I93" s="7" t="n"/>
      <c r="J93" s="7" t="n"/>
    </row>
    <row r="94" ht="61.5" customHeight="1">
      <c r="A94" s="7" t="inlineStr">
        <is>
          <t>Week 7</t>
        </is>
      </c>
      <c r="B94" s="8">
        <f>IF(ISNUMBER(Overview!B6),Overview!B6+49,"")</f>
        <v/>
      </c>
      <c r="C94" s="11" t="inlineStr">
        <is>
          <t>Hands-on</t>
        </is>
      </c>
      <c r="D94" s="7" t="inlineStr">
        <is>
          <t>LIMITATIONS.md</t>
        </is>
      </c>
      <c r="E94" s="7" t="inlineStr">
        <is>
          <t>Language coverage, code-mix failures, accent sensitivity, translation degradation, latency bottlenecks, GPU memory ceiling.</t>
        </is>
      </c>
      <c r="F94" s="7" t="inlineStr">
        <is>
          <t>Honest scoping. Next intern starts knowing what doesn't work.</t>
        </is>
      </c>
      <c r="G94" s="7" t="inlineStr">
        <is>
          <t>Intern</t>
        </is>
      </c>
      <c r="H94" s="7" t="inlineStr">
        <is>
          <t>Not Started</t>
        </is>
      </c>
      <c r="I94" s="7" t="n"/>
      <c r="J94" s="7" t="n"/>
    </row>
    <row r="95" ht="61.5" customHeight="1">
      <c r="A95" s="7" t="inlineStr">
        <is>
          <t>Week 7</t>
        </is>
      </c>
      <c r="B95" s="8">
        <f>IF(ISNUMBER(Overview!B6),Overview!B6+49,"")</f>
        <v/>
      </c>
      <c r="C95" s="11" t="inlineStr">
        <is>
          <t>Hands-on</t>
        </is>
      </c>
      <c r="D95" s="7" t="inlineStr">
        <is>
          <t>Handoff README</t>
        </is>
      </c>
      <c r="E95" s="7" t="inlineStr">
        <is>
          <t>Root README.md: 'How to run this in 30 minutes from scratch.' Step-by-step.</t>
        </is>
      </c>
      <c r="F95" s="7" t="inlineStr">
        <is>
          <t>If new intern can't get to a working demo in 30 min, handoff failed.</t>
        </is>
      </c>
      <c r="G95" s="7" t="inlineStr">
        <is>
          <t>Intern</t>
        </is>
      </c>
      <c r="H95" s="7" t="inlineStr">
        <is>
          <t>Not Started</t>
        </is>
      </c>
      <c r="I95" s="7" t="n"/>
      <c r="J95" s="7" t="n"/>
    </row>
    <row r="96" ht="61.5" customHeight="1">
      <c r="A96" s="7" t="inlineStr">
        <is>
          <t>Week 7</t>
        </is>
      </c>
      <c r="B96" s="8">
        <f>IF(ISNUMBER(Overview!B6),Overview!B6+49,"")</f>
        <v/>
      </c>
      <c r="C96" s="11" t="inlineStr">
        <is>
          <t>Hands-on</t>
        </is>
      </c>
      <c r="D96" s="7" t="inlineStr">
        <is>
          <t>SETUP, EXPERIMENTS, NEXT_STEPS markdowns</t>
        </is>
      </c>
      <c r="E96" s="7" t="inlineStr">
        <is>
          <t>SETUP: env/GPU/HF tokens. EXPERIMENTS: tried, worked, didn't. NEXT_STEPS: three concrete projects for next intern.</t>
        </is>
      </c>
      <c r="F96" s="7" t="inlineStr">
        <is>
          <t>Decomposes the handoff into discoverable pieces.</t>
        </is>
      </c>
      <c r="G96" s="7" t="inlineStr">
        <is>
          <t>Intern</t>
        </is>
      </c>
      <c r="H96" s="7" t="inlineStr">
        <is>
          <t>Not Started</t>
        </is>
      </c>
      <c r="I96" s="7" t="n"/>
      <c r="J96" s="7" t="n"/>
    </row>
    <row r="97" ht="61.5" customHeight="1">
      <c r="A97" s="7" t="inlineStr">
        <is>
          <t>Week 7</t>
        </is>
      </c>
      <c r="B97" s="8">
        <f>IF(ISNUMBER(Overview!B6),Overview!B6+49,"")</f>
        <v/>
      </c>
      <c r="C97" s="11" t="inlineStr">
        <is>
          <t>Hands-on</t>
        </is>
      </c>
      <c r="D97" s="7" t="inlineStr">
        <is>
          <t>30-min Loom walkthrough</t>
        </is>
      </c>
      <c r="E97" s="7" t="inlineStr">
        <is>
          <t>Screen recording: demo the pipeline, walk through repo, point at limitations.</t>
        </is>
      </c>
      <c r="F97" s="7" t="inlineStr">
        <is>
          <t>Watching is faster than reading for first-touch onboarding.</t>
        </is>
      </c>
      <c r="G97" s="7" t="inlineStr">
        <is>
          <t>Intern</t>
        </is>
      </c>
      <c r="H97" s="7" t="inlineStr">
        <is>
          <t>Not Started</t>
        </is>
      </c>
      <c r="I97" s="7" t="n"/>
      <c r="J97" s="7" t="n"/>
    </row>
    <row r="98" ht="61.5" customHeight="1">
      <c r="A98" s="7" t="inlineStr">
        <is>
          <t>Week 7</t>
        </is>
      </c>
      <c r="B98" s="8">
        <f>IF(ISNUMBER(Overview!B6),Overview!B6+49,"")</f>
        <v/>
      </c>
      <c r="C98" s="12" t="inlineStr">
        <is>
          <t>Deliverable</t>
        </is>
      </c>
      <c r="D98" s="7" t="inlineStr">
        <is>
          <t>Tagged repo v1.0-intern-handoff</t>
        </is>
      </c>
      <c r="E98" s="7" t="inlineStr">
        <is>
          <t>git tag v1.0-intern-handoff. Final mentor review.</t>
        </is>
      </c>
      <c r="F98" s="7" t="inlineStr">
        <is>
          <t>Discrete milestone. 'Done' is unambiguous.</t>
        </is>
      </c>
      <c r="G98" s="7" t="inlineStr">
        <is>
          <t>Intern</t>
        </is>
      </c>
      <c r="H98" s="7" t="inlineStr">
        <is>
          <t>Not Started</t>
        </is>
      </c>
      <c r="I98" s="7" t="n"/>
      <c r="J98" s="7" t="n"/>
    </row>
    <row r="99" ht="61.5" customHeight="1">
      <c r="A99" s="7" t="inlineStr">
        <is>
          <t>Week 7</t>
        </is>
      </c>
      <c r="B99" s="8">
        <f>IF(ISNUMBER(Overview!B6),Overview!B6+49,"")</f>
        <v/>
      </c>
      <c r="C99" s="13" t="inlineStr">
        <is>
          <t>Anti-pattern</t>
        </is>
      </c>
      <c r="D99" s="7" t="inlineStr">
        <is>
          <t>Don't: leave docs for the last day</t>
        </is>
      </c>
      <c r="E99" s="7" t="inlineStr">
        <is>
          <t>Docs accumulate weekly from Week 1.</t>
        </is>
      </c>
      <c r="F99" s="7" t="inlineStr">
        <is>
          <t>Week-7-only doc writing misses ~30% of what was done.</t>
        </is>
      </c>
      <c r="G99" s="7" t="inlineStr">
        <is>
          <t>Intern</t>
        </is>
      </c>
      <c r="H99" s="7" t="inlineStr">
        <is>
          <t>Not Started</t>
        </is>
      </c>
      <c r="I99" s="7" t="n"/>
      <c r="J99" s="7" t="n"/>
    </row>
  </sheetData>
  <autoFilter ref="A1:J99"/>
  <conditionalFormatting sqref="H2:H99">
    <cfRule type="cellIs" priority="2" operator="equal" dxfId="3">
      <formula>"Done"</formula>
    </cfRule>
    <cfRule type="cellIs" priority="3" operator="equal" dxfId="2">
      <formula>"In Progress"</formula>
    </cfRule>
    <cfRule type="cellIs" priority="4" operator="equal" dxfId="1">
      <formula>"Blocked"</formula>
    </cfRule>
    <cfRule type="cellIs" priority="5" operator="equal" dxfId="0">
      <formula>"Not Started"</formula>
    </cfRule>
  </conditionalFormatting>
  <dataValidations count="1">
    <dataValidation sqref="H2:H99" showDropDown="0" showInputMessage="0" showErrorMessage="0" allowBlank="0" type="list">
      <formula1>"Not Started,In Progress,Done,Blocked,N/A"</formula1>
      <formula2>0</formula2>
    </dataValidation>
  </dataValidations>
  <pageMargins left="0.75" right="0.75" top="1" bottom="1" header="0.511811023622047" footer="0.511811023622047"/>
  <pageSetup orientation="portrait" paperSize="9" horizontalDpi="300" verticalDpi="30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4"/>
  <sheetViews>
    <sheetView zoomScale="90" zoomScaleNormal="90" workbookViewId="0">
      <pane ySplit="4" topLeftCell="A5" activePane="bottomLeft" state="frozen"/>
      <selection pane="bottomLeft" activeCell="D6" sqref="D6"/>
    </sheetView>
  </sheetViews>
  <sheetFormatPr baseColWidth="8" defaultColWidth="8.6640625" defaultRowHeight="14.4"/>
  <cols>
    <col width="14" customWidth="1" min="1" max="1"/>
    <col width="32" customWidth="1" min="2" max="2"/>
    <col width="75" customWidth="1" min="3" max="3"/>
    <col width="18" customWidth="1" min="4" max="4"/>
  </cols>
  <sheetData>
    <row r="1" ht="17.4" customHeight="1">
      <c r="A1" s="23" t="inlineStr">
        <is>
          <t>Glossary</t>
        </is>
      </c>
    </row>
    <row r="2" ht="30" customHeight="1">
      <c r="A2" s="24" t="inlineStr">
        <is>
          <t>One-line definitions for every ML / audio / inference term used in the plan. Aimed at someone who's just finished Week 0. Use as a lookup, not as study material.</t>
        </is>
      </c>
    </row>
    <row r="4">
      <c r="A4" s="14" t="inlineStr">
        <is>
          <t>Category</t>
        </is>
      </c>
      <c r="B4" s="14" t="inlineStr">
        <is>
          <t>Term</t>
        </is>
      </c>
      <c r="C4" s="14" t="inlineStr">
        <is>
          <t>Plain-English definition</t>
        </is>
      </c>
      <c r="D4" s="14" t="inlineStr">
        <is>
          <t>First appears</t>
        </is>
      </c>
    </row>
    <row r="5" ht="37.5" customHeight="1">
      <c r="A5" s="7" t="inlineStr">
        <is>
          <t>Audio</t>
        </is>
      </c>
      <c r="B5" s="7" t="inlineStr">
        <is>
          <t>Sampling rate</t>
        </is>
      </c>
      <c r="C5" s="7" t="inlineStr">
        <is>
          <t>How many audio measurements are taken per second. 16,000/sec (16 kHz) is the speech-model standard; CD audio is 44,100/sec.</t>
        </is>
      </c>
      <c r="D5" s="7" t="inlineStr">
        <is>
          <t>Week 1</t>
        </is>
      </c>
    </row>
    <row r="6" ht="37.5" customHeight="1">
      <c r="A6" s="7" t="inlineStr">
        <is>
          <t>Audio</t>
        </is>
      </c>
      <c r="B6" s="7" t="inlineStr">
        <is>
          <t>Waveform</t>
        </is>
      </c>
      <c r="C6" s="7" t="inlineStr">
        <is>
          <t>The raw audio signal as a 1-D array of amplitude values over time. What you see in Audacity.</t>
        </is>
      </c>
      <c r="D6" s="7" t="inlineStr">
        <is>
          <t>Week 1</t>
        </is>
      </c>
    </row>
    <row r="7" ht="37.5" customHeight="1">
      <c r="A7" s="7" t="inlineStr">
        <is>
          <t>Audio</t>
        </is>
      </c>
      <c r="B7" s="7" t="inlineStr">
        <is>
          <t>Spectrogram</t>
        </is>
      </c>
      <c r="C7" s="7" t="inlineStr">
        <is>
          <t>A 2-D image showing how energy at different frequencies changes over time. Models eat this, not the raw waveform.</t>
        </is>
      </c>
      <c r="D7" s="7" t="inlineStr">
        <is>
          <t>Week 1</t>
        </is>
      </c>
    </row>
    <row r="8" ht="37.5" customHeight="1">
      <c r="A8" s="7" t="inlineStr">
        <is>
          <t>Audio</t>
        </is>
      </c>
      <c r="B8" s="7" t="inlineStr">
        <is>
          <t>Mel-spectrogram</t>
        </is>
      </c>
      <c r="C8" s="7" t="inlineStr">
        <is>
          <t>A spectrogram with frequencies rescaled to the mel scale (closer to how humans hear). Standard input for speech models.</t>
        </is>
      </c>
      <c r="D8" s="7" t="inlineStr">
        <is>
          <t>Week 1</t>
        </is>
      </c>
    </row>
    <row r="9" ht="37.5" customHeight="1">
      <c r="A9" s="7" t="inlineStr">
        <is>
          <t>Audio</t>
        </is>
      </c>
      <c r="B9" s="7" t="inlineStr">
        <is>
          <t>Mono / Stereo</t>
        </is>
      </c>
      <c r="C9" s="7" t="inlineStr">
        <is>
          <t>Mono = 1 channel. Stereo = 2 channels. Speech models almost always want mono.</t>
        </is>
      </c>
      <c r="D9" s="7" t="inlineStr">
        <is>
          <t>Week 1</t>
        </is>
      </c>
    </row>
    <row r="10" ht="37.5" customHeight="1">
      <c r="A10" s="7" t="inlineStr">
        <is>
          <t>PyTorch</t>
        </is>
      </c>
      <c r="B10" s="7" t="inlineStr">
        <is>
          <t>Tensor</t>
        </is>
      </c>
      <c r="C10" s="7" t="inlineStr">
        <is>
          <t>An n-dimensional array of numbers (like a numpy array) that can live on a GPU and support gradient tracking. For our purposes: numpy array on a graphics card.</t>
        </is>
      </c>
      <c r="D10" s="7" t="inlineStr">
        <is>
          <t>Week 0</t>
        </is>
      </c>
    </row>
    <row r="11" ht="37.5" customHeight="1">
      <c r="A11" s="7" t="inlineStr">
        <is>
          <t>PyTorch</t>
        </is>
      </c>
      <c r="B11" s="7" t="inlineStr">
        <is>
          <t>Device</t>
        </is>
      </c>
      <c r="C11" s="7" t="inlineStr">
        <is>
          <t>Where a tensor lives: 'cpu' or 'cuda' (GPU). Operations between tensors on different devices fail.</t>
        </is>
      </c>
      <c r="D11" s="7" t="inlineStr">
        <is>
          <t>Week 0</t>
        </is>
      </c>
    </row>
    <row r="12" ht="37.5" customHeight="1">
      <c r="A12" s="7" t="inlineStr">
        <is>
          <t>PyTorch</t>
        </is>
      </c>
      <c r="B12" s="7" t="inlineStr">
        <is>
          <t>dtype</t>
        </is>
      </c>
      <c r="C12" s="7" t="inlineStr">
        <is>
          <t>The numeric type of tensor elements: float32 (default), float16, bfloat16, int8, etc. Affects memory and precision.</t>
        </is>
      </c>
      <c r="D12" s="7" t="inlineStr">
        <is>
          <t>Week 0</t>
        </is>
      </c>
    </row>
    <row r="13" ht="37.5" customHeight="1">
      <c r="A13" s="7" t="inlineStr">
        <is>
          <t>PyTorch</t>
        </is>
      </c>
      <c r="B13" s="7" t="inlineStr">
        <is>
          <t>Broadcasting</t>
        </is>
      </c>
      <c r="C13" s="7" t="inlineStr">
        <is>
          <t>Rules that let operations between tensors of different shapes work (e.g., adding (3,1) and (1,4) produces (3,4)).</t>
        </is>
      </c>
      <c r="D13" s="7" t="inlineStr">
        <is>
          <t>Week 0</t>
        </is>
      </c>
    </row>
    <row r="14" ht="37.5" customHeight="1">
      <c r="A14" s="7" t="inlineStr">
        <is>
          <t>PyTorch</t>
        </is>
      </c>
      <c r="B14" s="7" t="inlineStr">
        <is>
          <t>torch.no_grad()</t>
        </is>
      </c>
      <c r="C14" s="7" t="inlineStr">
        <is>
          <t>A context manager that turns off gradient tracking. Use during inference: halves memory, speeds up.</t>
        </is>
      </c>
      <c r="D14" s="7" t="inlineStr">
        <is>
          <t>Week 2</t>
        </is>
      </c>
    </row>
    <row r="15" ht="37.5" customHeight="1">
      <c r="A15" s="7" t="inlineStr">
        <is>
          <t>PyTorch</t>
        </is>
      </c>
      <c r="B15" s="7" t="inlineStr">
        <is>
          <t>model.eval()</t>
        </is>
      </c>
      <c r="C15" s="7" t="inlineStr">
        <is>
          <t>Switches a model from training mode to inference mode. Affects layers like dropout and batchnorm.</t>
        </is>
      </c>
      <c r="D15" s="7" t="inlineStr">
        <is>
          <t>Week 2</t>
        </is>
      </c>
    </row>
    <row r="16" ht="37.5" customHeight="1">
      <c r="A16" s="7" t="inlineStr">
        <is>
          <t>ML</t>
        </is>
      </c>
      <c r="B16" s="7" t="inlineStr">
        <is>
          <t>Model</t>
        </is>
      </c>
      <c r="C16" s="7" t="inlineStr">
        <is>
          <t>A function with learned parameters. Input -&gt; math -&gt; output. For us, always pre-trained — we never train.</t>
        </is>
      </c>
      <c r="D16" s="7" t="inlineStr">
        <is>
          <t>Week 0</t>
        </is>
      </c>
    </row>
    <row r="17" ht="37.5" customHeight="1">
      <c r="A17" s="7" t="inlineStr">
        <is>
          <t>ML</t>
        </is>
      </c>
      <c r="B17" s="7" t="inlineStr">
        <is>
          <t>Parameters / Weights</t>
        </is>
      </c>
      <c r="C17" s="7" t="inlineStr">
        <is>
          <t>The learned numbers inside a model. A '2.9B parameter model' has 2.9 billion of these.</t>
        </is>
      </c>
      <c r="D17" s="7" t="inlineStr">
        <is>
          <t>Week 0</t>
        </is>
      </c>
    </row>
    <row r="18" ht="37.5" customHeight="1">
      <c r="A18" s="7" t="inlineStr">
        <is>
          <t>ML</t>
        </is>
      </c>
      <c r="B18" s="7" t="inlineStr">
        <is>
          <t>Inference</t>
        </is>
      </c>
      <c r="C18" s="7" t="inlineStr">
        <is>
          <t>Running a trained model on new inputs to get outputs. The only thing we do for 7 weeks.</t>
        </is>
      </c>
      <c r="D18" s="7" t="inlineStr">
        <is>
          <t>Week 0</t>
        </is>
      </c>
    </row>
    <row r="19" ht="37.5" customHeight="1">
      <c r="A19" s="7" t="inlineStr">
        <is>
          <t>ML</t>
        </is>
      </c>
      <c r="B19" s="7" t="inlineStr">
        <is>
          <t>Training</t>
        </is>
      </c>
      <c r="C19" s="7" t="inlineStr">
        <is>
          <t>Adjusting model parameters using labeled data. We don't do this.</t>
        </is>
      </c>
      <c r="D19" s="7" t="inlineStr">
        <is>
          <t>Week 0</t>
        </is>
      </c>
    </row>
    <row r="20" ht="37.5" customHeight="1">
      <c r="A20" s="7" t="inlineStr">
        <is>
          <t>ML</t>
        </is>
      </c>
      <c r="B20" s="7" t="inlineStr">
        <is>
          <t>Forward pass</t>
        </is>
      </c>
      <c r="C20" s="7" t="inlineStr">
        <is>
          <t>Running input through the model to produce output. The thing that happens during inference.</t>
        </is>
      </c>
      <c r="D20" s="7" t="inlineStr">
        <is>
          <t>Week 0</t>
        </is>
      </c>
    </row>
    <row r="21" ht="37.5" customHeight="1">
      <c r="A21" s="7" t="inlineStr">
        <is>
          <t>NLP</t>
        </is>
      </c>
      <c r="B21" s="7" t="inlineStr">
        <is>
          <t>Token</t>
        </is>
      </c>
      <c r="C21" s="7" t="inlineStr">
        <is>
          <t>An integer that represents a chunk of text. Could be a word, a subword, a character, or even a byte.</t>
        </is>
      </c>
      <c r="D21" s="7" t="inlineStr">
        <is>
          <t>Week 0</t>
        </is>
      </c>
    </row>
    <row r="22" ht="37.5" customHeight="1">
      <c r="A22" s="7" t="inlineStr">
        <is>
          <t>NLP</t>
        </is>
      </c>
      <c r="B22" s="7" t="inlineStr">
        <is>
          <t>Tokenizer</t>
        </is>
      </c>
      <c r="C22" s="7" t="inlineStr">
        <is>
          <t>Converts text -&gt; list of tokens (integers). Each model ships with its own tokenizer.</t>
        </is>
      </c>
      <c r="D22" s="7" t="inlineStr">
        <is>
          <t>Week 0</t>
        </is>
      </c>
    </row>
    <row r="23" ht="37.5" customHeight="1">
      <c r="A23" s="7" t="inlineStr">
        <is>
          <t>NLP</t>
        </is>
      </c>
      <c r="B23" s="7" t="inlineStr">
        <is>
          <t>Vocabulary / vocab size</t>
        </is>
      </c>
      <c r="C23" s="7" t="inlineStr">
        <is>
          <t>The set of all possible tokens the model knows. vocab_size is how many distinct tokens exist.</t>
        </is>
      </c>
      <c r="D23" s="7" t="inlineStr">
        <is>
          <t>Week 2</t>
        </is>
      </c>
    </row>
    <row r="24" ht="37.5" customHeight="1">
      <c r="A24" s="7" t="inlineStr">
        <is>
          <t>NLP</t>
        </is>
      </c>
      <c r="B24" s="7" t="inlineStr">
        <is>
          <t>Embedding</t>
        </is>
      </c>
      <c r="C24" s="7" t="inlineStr">
        <is>
          <t>A vector of numbers representing something (a token, a speaker, an image). Similar things -&gt; similar vectors.</t>
        </is>
      </c>
      <c r="D24" s="7" t="inlineStr">
        <is>
          <t>Week 4</t>
        </is>
      </c>
    </row>
    <row r="25" ht="37.5" customHeight="1">
      <c r="A25" s="7" t="inlineStr">
        <is>
          <t>NLP</t>
        </is>
      </c>
      <c r="B25" s="7" t="inlineStr">
        <is>
          <t>Logits</t>
        </is>
      </c>
      <c r="C25" s="7" t="inlineStr">
        <is>
          <t>The raw numeric output of a model, one per vocab token. Higher = model thinks this token is more likely.</t>
        </is>
      </c>
      <c r="D25" s="7" t="inlineStr">
        <is>
          <t>Week 2</t>
        </is>
      </c>
    </row>
    <row r="26" ht="37.5" customHeight="1">
      <c r="A26" s="7" t="inlineStr">
        <is>
          <t>NLP</t>
        </is>
      </c>
      <c r="B26" s="7" t="inlineStr">
        <is>
          <t>Softmax</t>
        </is>
      </c>
      <c r="C26" s="7" t="inlineStr">
        <is>
          <t>Converts logits into probabilities (each between 0 and 1, summing to 1). Normalization with exponentials.</t>
        </is>
      </c>
      <c r="D26" s="7" t="inlineStr">
        <is>
          <t>Week 2</t>
        </is>
      </c>
    </row>
    <row r="27" ht="37.5" customHeight="1">
      <c r="A27" s="7" t="inlineStr">
        <is>
          <t>NLP</t>
        </is>
      </c>
      <c r="B27" s="7" t="inlineStr">
        <is>
          <t>Hidden size</t>
        </is>
      </c>
      <c r="C27" s="7" t="inlineStr">
        <is>
          <t>The width of the model's internal representations (e.g., 768 = each token is represented by a 768-number vector inside the model).</t>
        </is>
      </c>
      <c r="D27" s="7" t="inlineStr">
        <is>
          <t>Week 2</t>
        </is>
      </c>
    </row>
    <row r="28" ht="37.5" customHeight="1">
      <c r="A28" s="7" t="inlineStr">
        <is>
          <t>NLP</t>
        </is>
      </c>
      <c r="B28" s="7" t="inlineStr">
        <is>
          <t>Layer</t>
        </is>
      </c>
      <c r="C28" s="7" t="inlineStr">
        <is>
          <t>One stage of the model's processing. A 12-layer transformer applies its core operation 12 times.</t>
        </is>
      </c>
      <c r="D28" s="7" t="inlineStr">
        <is>
          <t>Week 2</t>
        </is>
      </c>
    </row>
    <row r="29" ht="37.5" customHeight="1">
      <c r="A29" s="7" t="inlineStr">
        <is>
          <t>NLP</t>
        </is>
      </c>
      <c r="B29" s="7" t="inlineStr">
        <is>
          <t>Attention</t>
        </is>
      </c>
      <c r="C29" s="7" t="inlineStr">
        <is>
          <t>The operation that lets each token in a sequence 'look at' (weight) every other token. The core of transformers.</t>
        </is>
      </c>
      <c r="D29" s="7" t="inlineStr">
        <is>
          <t>Week 0 (primer)</t>
        </is>
      </c>
    </row>
    <row r="30" ht="37.5" customHeight="1">
      <c r="A30" s="7" t="inlineStr">
        <is>
          <t>NLP</t>
        </is>
      </c>
      <c r="B30" s="7" t="inlineStr">
        <is>
          <t>Encoder</t>
        </is>
      </c>
      <c r="C30" s="7" t="inlineStr">
        <is>
          <t>Part of a model that reads the whole input and builds a representation of it.</t>
        </is>
      </c>
      <c r="D30" s="7" t="inlineStr">
        <is>
          <t>Week 5</t>
        </is>
      </c>
    </row>
    <row r="31" ht="37.5" customHeight="1">
      <c r="A31" s="7" t="inlineStr">
        <is>
          <t>NLP</t>
        </is>
      </c>
      <c r="B31" s="7" t="inlineStr">
        <is>
          <t>Decoder</t>
        </is>
      </c>
      <c r="C31" s="7" t="inlineStr">
        <is>
          <t>Part of a model that generates output token by token, often conditioned on an encoder's representation.</t>
        </is>
      </c>
      <c r="D31" s="7" t="inlineStr">
        <is>
          <t>Week 5</t>
        </is>
      </c>
    </row>
    <row r="32" ht="37.5" customHeight="1">
      <c r="A32" s="7" t="inlineStr">
        <is>
          <t>NLP</t>
        </is>
      </c>
      <c r="B32" s="7" t="inlineStr">
        <is>
          <t>Seq2seq</t>
        </is>
      </c>
      <c r="C32" s="7" t="inlineStr">
        <is>
          <t>A model whose input is a sequence and output is a sequence. ASR, TTS, and translation are all seq2seq.</t>
        </is>
      </c>
      <c r="D32" s="7" t="inlineStr">
        <is>
          <t>Week 5</t>
        </is>
      </c>
    </row>
    <row r="33" ht="37.5" customHeight="1">
      <c r="A33" s="7" t="inlineStr">
        <is>
          <t>NLP</t>
        </is>
      </c>
      <c r="B33" s="7" t="inlineStr">
        <is>
          <t>Autoregressive</t>
        </is>
      </c>
      <c r="C33" s="7" t="inlineStr">
        <is>
          <t>Generates output one token at a time, each new token depends on previously generated tokens.</t>
        </is>
      </c>
      <c r="D33" s="7" t="inlineStr">
        <is>
          <t>Week 5</t>
        </is>
      </c>
    </row>
    <row r="34" ht="37.5" customHeight="1">
      <c r="A34" s="7" t="inlineStr">
        <is>
          <t>NLP</t>
        </is>
      </c>
      <c r="B34" s="7" t="inlineStr">
        <is>
          <t>Greedy decoding</t>
        </is>
      </c>
      <c r="C34" s="7" t="inlineStr">
        <is>
          <t>At each generation step, pick the single highest-probability token. Fast, sometimes suboptimal.</t>
        </is>
      </c>
      <c r="D34" s="7" t="inlineStr">
        <is>
          <t>Week 3</t>
        </is>
      </c>
    </row>
    <row r="35" ht="37.5" customHeight="1">
      <c r="A35" s="7" t="inlineStr">
        <is>
          <t>NLP</t>
        </is>
      </c>
      <c r="B35" s="7" t="inlineStr">
        <is>
          <t>Beam search</t>
        </is>
      </c>
      <c r="C35" s="7" t="inlineStr">
        <is>
          <t>At each step, keep the top-k partial sequences. Slower but usually better output.</t>
        </is>
      </c>
      <c r="D35" s="7" t="inlineStr">
        <is>
          <t>Week 3</t>
        </is>
      </c>
    </row>
    <row r="36" ht="37.5" customHeight="1">
      <c r="A36" s="7" t="inlineStr">
        <is>
          <t>NLP</t>
        </is>
      </c>
      <c r="B36" s="7" t="inlineStr">
        <is>
          <t>KV cache</t>
        </is>
      </c>
      <c r="C36" s="7" t="inlineStr">
        <is>
          <t>Stored intermediate states from previous generation steps. Speeds up autoregressive decoding; eats GPU memory linearly with output length.</t>
        </is>
      </c>
      <c r="D36" s="7" t="inlineStr">
        <is>
          <t>Week 7</t>
        </is>
      </c>
    </row>
    <row r="37" ht="37.5" customHeight="1">
      <c r="A37" s="7" t="inlineStr">
        <is>
          <t>Speech</t>
        </is>
      </c>
      <c r="B37" s="7" t="inlineStr">
        <is>
          <t>ASR / STT</t>
        </is>
      </c>
      <c r="C37" s="7" t="inlineStr">
        <is>
          <t>Audio -&gt; text. ASR (Automatic Speech Recognition) and STT (Speech-to-Text) mean the same thing.</t>
        </is>
      </c>
      <c r="D37" s="7" t="inlineStr">
        <is>
          <t>Week 3</t>
        </is>
      </c>
    </row>
    <row r="38" ht="37.5" customHeight="1">
      <c r="A38" s="7" t="inlineStr">
        <is>
          <t>Speech</t>
        </is>
      </c>
      <c r="B38" s="7" t="inlineStr">
        <is>
          <t>TTS</t>
        </is>
      </c>
      <c r="C38" s="7" t="inlineStr">
        <is>
          <t>Text -&gt; audio. Text-to-Speech.</t>
        </is>
      </c>
      <c r="D38" s="7" t="inlineStr">
        <is>
          <t>Week 4</t>
        </is>
      </c>
    </row>
    <row r="39" ht="37.5" customHeight="1">
      <c r="A39" s="7" t="inlineStr">
        <is>
          <t>Speech</t>
        </is>
      </c>
      <c r="B39" s="7" t="inlineStr">
        <is>
          <t>NMT</t>
        </is>
      </c>
      <c r="C39" s="7" t="inlineStr">
        <is>
          <t>Neural Machine Translation. Text in one language -&gt; text in another, done by a neural network.</t>
        </is>
      </c>
      <c r="D39" s="7" t="inlineStr">
        <is>
          <t>Week 5</t>
        </is>
      </c>
    </row>
    <row r="40" ht="37.5" customHeight="1">
      <c r="A40" s="7" t="inlineStr">
        <is>
          <t>Speech</t>
        </is>
      </c>
      <c r="B40" s="7" t="inlineStr">
        <is>
          <t>Acoustic model</t>
        </is>
      </c>
      <c r="C40" s="7" t="inlineStr">
        <is>
          <t>In TTS, the part that turns text into a mel-spectrogram.</t>
        </is>
      </c>
      <c r="D40" s="7" t="inlineStr">
        <is>
          <t>Week 4</t>
        </is>
      </c>
    </row>
    <row r="41" ht="37.5" customHeight="1">
      <c r="A41" s="7" t="inlineStr">
        <is>
          <t>Speech</t>
        </is>
      </c>
      <c r="B41" s="7" t="inlineStr">
        <is>
          <t>Vocoder</t>
        </is>
      </c>
      <c r="C41" s="7" t="inlineStr">
        <is>
          <t>In TTS, the part that turns a mel-spectrogram into an audible waveform.</t>
        </is>
      </c>
      <c r="D41" s="7" t="inlineStr">
        <is>
          <t>Week 4</t>
        </is>
      </c>
    </row>
    <row r="42" ht="37.5" customHeight="1">
      <c r="A42" s="7" t="inlineStr">
        <is>
          <t>Speech</t>
        </is>
      </c>
      <c r="B42" s="7" t="inlineStr">
        <is>
          <t>Reference-guided / voice cloning</t>
        </is>
      </c>
      <c r="C42" s="7" t="inlineStr">
        <is>
          <t>TTS conditioned on a reference audio clip: the output mimics the reference speaker.</t>
        </is>
      </c>
      <c r="D42" s="7" t="inlineStr">
        <is>
          <t>Week 4</t>
        </is>
      </c>
    </row>
    <row r="43" ht="37.5" customHeight="1">
      <c r="A43" s="7" t="inlineStr">
        <is>
          <t>Speech</t>
        </is>
      </c>
      <c r="B43" s="7" t="inlineStr">
        <is>
          <t>Description-conditioned TTS</t>
        </is>
      </c>
      <c r="C43" s="7" t="inlineStr">
        <is>
          <t>TTS conditioned on a text description ('a calm female voice with low pitch') rather than a reference clip. Indic Parler-TTS works this way.</t>
        </is>
      </c>
      <c r="D43" s="7" t="inlineStr">
        <is>
          <t>Week 4</t>
        </is>
      </c>
    </row>
    <row r="44" ht="37.5" customHeight="1">
      <c r="A44" s="7" t="inlineStr">
        <is>
          <t>Speech</t>
        </is>
      </c>
      <c r="B44" s="7" t="inlineStr">
        <is>
          <t>WER</t>
        </is>
      </c>
      <c r="C44" s="7" t="inlineStr">
        <is>
          <t>Word Error Rate. (insertions + deletions + substitutions) / total reference words. Lower is better.</t>
        </is>
      </c>
      <c r="D44" s="7" t="inlineStr">
        <is>
          <t>Week 3</t>
        </is>
      </c>
    </row>
    <row r="45" ht="37.5" customHeight="1">
      <c r="A45" s="7" t="inlineStr">
        <is>
          <t>Speech</t>
        </is>
      </c>
      <c r="B45" s="7" t="inlineStr">
        <is>
          <t>CER</t>
        </is>
      </c>
      <c r="C45" s="7" t="inlineStr">
        <is>
          <t>Character Error Rate. Same as WER but at character level. More forgiving for morphologically rich languages.</t>
        </is>
      </c>
      <c r="D45" s="7" t="inlineStr">
        <is>
          <t>Week 3</t>
        </is>
      </c>
    </row>
    <row r="46" ht="37.5" customHeight="1">
      <c r="A46" s="7" t="inlineStr">
        <is>
          <t>Speech</t>
        </is>
      </c>
      <c r="B46" s="7" t="inlineStr">
        <is>
          <t>RTF</t>
        </is>
      </c>
      <c r="C46" s="7" t="inlineStr">
        <is>
          <t>Real-Time Factor. generation_time / audio_duration. RTF &lt; 1 means faster than real-time.</t>
        </is>
      </c>
      <c r="D46" s="7" t="inlineStr">
        <is>
          <t>Week 4</t>
        </is>
      </c>
    </row>
    <row r="47" ht="37.5" customHeight="1">
      <c r="A47" s="7" t="inlineStr">
        <is>
          <t>HF</t>
        </is>
      </c>
      <c r="B47" s="7" t="inlineStr">
        <is>
          <t>Model card</t>
        </is>
      </c>
      <c r="C47" s="7" t="inlineStr">
        <is>
          <t>The README on a Hugging Face model page. Documents usage, training data, intended use, limitations.</t>
        </is>
      </c>
      <c r="D47" s="7" t="inlineStr">
        <is>
          <t>Week 0</t>
        </is>
      </c>
    </row>
    <row r="48" ht="37.5" customHeight="1">
      <c r="A48" s="7" t="inlineStr">
        <is>
          <t>HF</t>
        </is>
      </c>
      <c r="B48" s="7" t="inlineStr">
        <is>
          <t>from_pretrained()</t>
        </is>
      </c>
      <c r="C48" s="7" t="inlineStr">
        <is>
          <t>The HF method to download and load a model or tokenizer by ID. Caches in ~/.cache/huggingface/.</t>
        </is>
      </c>
      <c r="D48" s="7" t="inlineStr">
        <is>
          <t>Week 2</t>
        </is>
      </c>
    </row>
    <row r="49" ht="37.5" customHeight="1">
      <c r="A49" s="7" t="inlineStr">
        <is>
          <t>HF</t>
        </is>
      </c>
      <c r="B49" s="7" t="inlineStr">
        <is>
          <t>AutoModel / AutoTokenizer / AutoProcessor</t>
        </is>
      </c>
      <c r="C49" s="7" t="inlineStr">
        <is>
          <t>Generic loaders that figure out the right model/tokenizer class from the model ID.</t>
        </is>
      </c>
      <c r="D49" s="7" t="inlineStr">
        <is>
          <t>Week 2</t>
        </is>
      </c>
    </row>
    <row r="50" ht="37.5" customHeight="1">
      <c r="A50" s="7" t="inlineStr">
        <is>
          <t>HF</t>
        </is>
      </c>
      <c r="B50" s="7" t="inlineStr">
        <is>
          <t>pipeline()</t>
        </is>
      </c>
      <c r="C50" s="7" t="inlineStr">
        <is>
          <t>The highest-level HF interface. Three lines: load, call, get output. Hides AutoModel + AutoTokenizer + preprocessing.</t>
        </is>
      </c>
      <c r="D50" s="7" t="inlineStr">
        <is>
          <t>Week 0</t>
        </is>
      </c>
    </row>
    <row r="51" ht="37.5" customHeight="1">
      <c r="A51" s="7" t="inlineStr">
        <is>
          <t>HF</t>
        </is>
      </c>
      <c r="B51" s="7" t="inlineStr">
        <is>
          <t>trust_remote_code=True</t>
        </is>
      </c>
      <c r="C51" s="7" t="inlineStr">
        <is>
          <t>Allows the model repo to execute its own Python code when loaded. Required by some models (Sooktam-2). Treat untrusted repos with caution.</t>
        </is>
      </c>
      <c r="D51" s="7" t="inlineStr">
        <is>
          <t>Week 2</t>
        </is>
      </c>
    </row>
    <row r="52" ht="37.5" customHeight="1">
      <c r="A52" s="7" t="inlineStr">
        <is>
          <t>Engineering</t>
        </is>
      </c>
      <c r="B52" s="7" t="inlineStr">
        <is>
          <t>Latency</t>
        </is>
      </c>
      <c r="C52" s="7" t="inlineStr">
        <is>
          <t>Wall-clock time from input to output. Lower is better.</t>
        </is>
      </c>
      <c r="D52" s="7" t="inlineStr">
        <is>
          <t>Week 3</t>
        </is>
      </c>
    </row>
    <row r="53" ht="37.5" customHeight="1">
      <c r="A53" s="7" t="inlineStr">
        <is>
          <t>Engineering</t>
        </is>
      </c>
      <c r="B53" s="7" t="inlineStr">
        <is>
          <t>Throughput</t>
        </is>
      </c>
      <c r="C53" s="7" t="inlineStr">
        <is>
          <t>How much work per unit time (audio-seconds processed per inference-second, or tokens/sec).</t>
        </is>
      </c>
      <c r="D53" s="7" t="inlineStr">
        <is>
          <t>Week 3</t>
        </is>
      </c>
    </row>
    <row r="54" ht="37.5" customHeight="1">
      <c r="A54" s="7" t="inlineStr">
        <is>
          <t>Engineering</t>
        </is>
      </c>
      <c r="B54" s="7" t="inlineStr">
        <is>
          <t>Peak GPU memory</t>
        </is>
      </c>
      <c r="C54" s="7" t="inlineStr">
        <is>
          <t>The maximum GPU memory used during an operation. Measured with torch.cuda.max_memory_allocated().</t>
        </is>
      </c>
      <c r="D54" s="7" t="inlineStr">
        <is>
          <t>Week 3</t>
        </is>
      </c>
    </row>
  </sheetData>
  <autoFilter ref="A4:D54"/>
  <mergeCells count="2">
    <mergeCell ref="A1:D1"/>
    <mergeCell ref="A2:D2"/>
  </mergeCells>
  <pageMargins left="0.75" right="0.75" top="1" bottom="1" header="0.511811023622047" footer="0.511811023622047"/>
  <pageSetup orientation="portrait" paperSize="9" horizontalDpi="300" verticalDpi="30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"/>
  <sheetViews>
    <sheetView zoomScale="90" zoomScaleNormal="90" workbookViewId="0">
      <pane ySplit="1" topLeftCell="A2" activePane="bottomLeft" state="frozen"/>
      <selection pane="bottomLeft" activeCell="F6" sqref="F6"/>
    </sheetView>
  </sheetViews>
  <sheetFormatPr baseColWidth="8" defaultColWidth="8.6640625" defaultRowHeight="14.4"/>
  <cols>
    <col width="9" customWidth="1" min="1" max="1"/>
    <col width="34" customWidth="1" min="2" max="2"/>
    <col width="52" customWidth="1" min="3" max="3"/>
    <col width="50" customWidth="1" min="4" max="4"/>
    <col width="14" customWidth="1" min="5" max="5"/>
    <col width="24" customWidth="1" min="6" max="6"/>
  </cols>
  <sheetData>
    <row r="1">
      <c r="A1" s="14" t="inlineStr">
        <is>
          <t>Week</t>
        </is>
      </c>
      <c r="B1" s="14" t="inlineStr">
        <is>
          <t>Deliverable</t>
        </is>
      </c>
      <c r="C1" s="14" t="inlineStr">
        <is>
          <t>Description</t>
        </is>
      </c>
      <c r="D1" s="14" t="inlineStr">
        <is>
          <t>Why it matters</t>
        </is>
      </c>
      <c r="E1" s="14" t="inlineStr">
        <is>
          <t>Status</t>
        </is>
      </c>
      <c r="F1" s="14" t="inlineStr">
        <is>
          <t>Evidence / Link</t>
        </is>
      </c>
    </row>
    <row r="2" ht="63.75" customHeight="1">
      <c r="A2" s="7" t="inlineStr">
        <is>
          <t>Week 0</t>
        </is>
      </c>
      <c r="B2" s="7" t="inlineStr">
        <is>
          <t>week0_bootstrap.ipynb + reflection.md</t>
        </is>
      </c>
      <c r="C2" s="7" t="inlineStr">
        <is>
          <t>Notebook covering numpy, matplotlib, first PyTorch tensor, first HF pipeline() call. reflection.md = 1-page 'what is a NN' in his own words.</t>
        </is>
      </c>
      <c r="D2" s="7" t="inlineStr">
        <is>
          <t>Diagnostic for whether bootstrap landed. Vague reflection -&gt; slow Week 1 down.</t>
        </is>
      </c>
      <c r="E2" s="7" t="inlineStr">
        <is>
          <t>Done</t>
        </is>
      </c>
      <c r="F2" s="7" t="inlineStr">
        <is>
          <t>https://github.com/makarkul/bharatgen-speech-intern-2026/tree/claude/setup-intern-project-FkRbX/week0</t>
        </is>
      </c>
    </row>
    <row r="3" ht="63.75" customHeight="1">
      <c r="A3" s="7" t="inlineStr">
        <is>
          <t>Week 1</t>
        </is>
      </c>
      <c r="B3" s="7" t="inlineStr">
        <is>
          <t>week1_audio_basics.ipynb + audio_cheatsheet.md</t>
        </is>
      </c>
      <c r="C3" s="7" t="inlineStr">
        <is>
          <t>Audio plots + 1-page cheatsheet on sampling rate, mono/stereo, resampling, mel-spectrogram.</t>
        </is>
      </c>
      <c r="D3" s="7" t="inlineStr">
        <is>
          <t>Cheatsheet seeds the handoff package.</t>
        </is>
      </c>
      <c r="E3" s="7" t="inlineStr">
        <is>
          <t>Done</t>
        </is>
      </c>
      <c r="F3" s="7" t="inlineStr">
        <is>
          <t>https://github.com/makarkul/bharatgen-speech-intern-2026/tree/claude/setup-intern-project-FkRbX/week1</t>
        </is>
      </c>
    </row>
    <row r="4" ht="63.75" customHeight="1">
      <c r="A4" s="7" t="inlineStr">
        <is>
          <t>Week 2</t>
        </is>
      </c>
      <c r="B4" s="7" t="inlineStr">
        <is>
          <t>how_to_run_an_hf_model.md</t>
        </is>
      </c>
      <c r="C4" s="7" t="inlineStr">
        <is>
          <t>Tutorial: AutoModel/Tokenizer/Processor, cache, eval mode, no_grad. Code + screenshots.</t>
        </is>
      </c>
      <c r="D4" s="7" t="inlineStr">
        <is>
          <t>Writing-for-others test of understanding.</t>
        </is>
      </c>
      <c r="E4" s="7" t="inlineStr">
        <is>
          <t>Not Started</t>
        </is>
      </c>
      <c r="F4" s="7" t="n"/>
    </row>
    <row r="5" ht="63.75" customHeight="1">
      <c r="A5" s="7" t="inlineStr">
        <is>
          <t>Week 3</t>
        </is>
      </c>
      <c r="B5" s="7" t="inlineStr">
        <is>
          <t>week3_shrutam2_eval.md</t>
        </is>
      </c>
      <c r="C5" s="7" t="inlineStr">
        <is>
          <t>WER table (Shrutam-2 vs Whisper, per language), profiling table, 5 failure cases with hypotheses.</t>
        </is>
      </c>
      <c r="D5" s="7" t="inlineStr">
        <is>
          <t>First quantitative comparison. Establishes the rigor bar.</t>
        </is>
      </c>
      <c r="E5" s="7" t="inlineStr">
        <is>
          <t>Not Started</t>
        </is>
      </c>
      <c r="F5" s="7" t="n"/>
    </row>
    <row r="6" ht="63.75" customHeight="1">
      <c r="A6" s="7" t="inlineStr">
        <is>
          <t>Week 4</t>
        </is>
      </c>
      <c r="B6" s="7" t="inlineStr">
        <is>
          <t>week4_sooktam2_eval.md + audio samples</t>
        </is>
      </c>
      <c r="C6" s="7" t="inlineStr">
        <is>
          <t>Markdown + audio. Indic Parler comparison. Edge-case failures documented.</t>
        </is>
      </c>
      <c r="D6" s="7" t="inlineStr">
        <is>
          <t>Quality claims backed by listenable artifacts.</t>
        </is>
      </c>
      <c r="E6" s="7" t="inlineStr">
        <is>
          <t>Not Started</t>
        </is>
      </c>
      <c r="F6" s="7" t="n"/>
    </row>
    <row r="7" ht="63.75" customHeight="1">
      <c r="A7" s="7" t="inlineStr">
        <is>
          <t>Week 5</t>
        </is>
      </c>
      <c r="B7" s="7" t="inlineStr">
        <is>
          <t>week5_indictrans2_eval.md + translate.py CLI</t>
        </is>
      </c>
      <c r="C7" s="7" t="inlineStr">
        <is>
          <t>Translation eval + reusable CLI consumed by Week 6 pipeline.</t>
        </is>
      </c>
      <c r="D7" s="7" t="inlineStr">
        <is>
          <t>First reusable artifact.</t>
        </is>
      </c>
      <c r="E7" s="7" t="inlineStr">
        <is>
          <t>Not Started</t>
        </is>
      </c>
      <c r="F7" s="7" t="n"/>
    </row>
    <row r="8" ht="63.75" customHeight="1">
      <c r="A8" s="7" t="inlineStr">
        <is>
          <t>Week 6</t>
        </is>
      </c>
      <c r="B8" s="7" t="inlineStr">
        <is>
          <t>Gradio demo + architecture.md</t>
        </is>
      </c>
      <c r="C8" s="7" t="inlineStr">
        <is>
          <t>Click-through STT -&gt; Translate -&gt; TTS demo. Hand-drawn architecture diagram with memory budget and failure modes.</t>
        </is>
      </c>
      <c r="D8" s="7" t="inlineStr">
        <is>
          <t>The actual goal. Drawing tests understanding.</t>
        </is>
      </c>
      <c r="E8" s="7" t="inlineStr">
        <is>
          <t>Not Started</t>
        </is>
      </c>
      <c r="F8" s="7" t="n"/>
    </row>
    <row r="9" ht="63.75" customHeight="1">
      <c r="A9" s="7" t="inlineStr">
        <is>
          <t>Week 7</t>
        </is>
      </c>
      <c r="B9" s="7" t="inlineStr">
        <is>
          <t>Tagged repo v1.0-intern-handoff</t>
        </is>
      </c>
      <c r="C9" s="7" t="inlineStr">
        <is>
          <t>Complete handoff: README, SETUP, EXPERIMENTS, NEXT_STEPS, LIMITATIONS, 30-min Loom.</t>
        </is>
      </c>
      <c r="D9" s="7" t="inlineStr">
        <is>
          <t>Next intern starts at Week 6, not Week 0.</t>
        </is>
      </c>
      <c r="E9" s="7" t="inlineStr">
        <is>
          <t>Not Started</t>
        </is>
      </c>
      <c r="F9" s="7" t="n"/>
    </row>
  </sheetData>
  <conditionalFormatting sqref="E2:E9">
    <cfRule type="cellIs" priority="2" operator="equal" dxfId="3">
      <formula>"Done"</formula>
    </cfRule>
    <cfRule type="cellIs" priority="3" operator="equal" dxfId="2">
      <formula>"In Progress"</formula>
    </cfRule>
    <cfRule type="cellIs" priority="4" operator="equal" dxfId="1">
      <formula>"Blocked"</formula>
    </cfRule>
    <cfRule type="cellIs" priority="5" operator="equal" dxfId="0">
      <formula>"Not Started"</formula>
    </cfRule>
  </conditionalFormatting>
  <dataValidations count="1">
    <dataValidation sqref="E2:E9" showDropDown="0" showInputMessage="0" showErrorMessage="0" allowBlank="0" type="list">
      <formula1>"Not Started,In Progress,Done,Blocked,N/A"</formula1>
      <formula2>0</formula2>
    </dataValidation>
  </dataValidations>
  <pageMargins left="0.75" right="0.75" top="1" bottom="1" header="0.511811023622047" footer="0.511811023622047"/>
  <pageSetup orientation="portrait" paperSize="9" horizontalDpi="300" verticalDpi="300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7"/>
  <sheetViews>
    <sheetView zoomScale="90" zoomScaleNormal="90" workbookViewId="0">
      <pane ySplit="1" topLeftCell="A2" activePane="bottomLeft" state="frozen"/>
      <selection pane="bottomLeft" activeCell="F2" sqref="F2"/>
    </sheetView>
  </sheetViews>
  <sheetFormatPr baseColWidth="8" defaultColWidth="8.6640625" defaultRowHeight="14.4"/>
  <cols>
    <col width="18" customWidth="1" min="1" max="1"/>
    <col width="36" customWidth="1" min="2" max="2"/>
    <col width="12" customWidth="1" min="3" max="3"/>
    <col width="22" customWidth="1" min="4" max="4"/>
    <col width="10" customWidth="1" min="5" max="5"/>
    <col width="60" customWidth="1" min="6" max="6"/>
  </cols>
  <sheetData>
    <row r="1">
      <c r="A1" s="14" t="inlineStr">
        <is>
          <t>When</t>
        </is>
      </c>
      <c r="B1" s="14" t="inlineStr">
        <is>
          <t>Activity</t>
        </is>
      </c>
      <c r="C1" s="14" t="inlineStr">
        <is>
          <t>Duration</t>
        </is>
      </c>
      <c r="D1" s="14" t="inlineStr">
        <is>
          <t>Format</t>
        </is>
      </c>
      <c r="E1" s="14" t="inlineStr">
        <is>
          <t>Owner</t>
        </is>
      </c>
      <c r="F1" s="14" t="inlineStr">
        <is>
          <t>Rationale</t>
        </is>
      </c>
    </row>
    <row r="2" ht="51.75" customHeight="1">
      <c r="A2" s="7" t="inlineStr">
        <is>
          <t>Monday morning</t>
        </is>
      </c>
      <c r="B2" s="7" t="inlineStr">
        <is>
          <t>Intern posts the week's plan</t>
        </is>
      </c>
      <c r="C2" s="7" t="inlineStr">
        <is>
          <t>15 min</t>
        </is>
      </c>
      <c r="D2" s="7" t="inlineStr">
        <is>
          <t>Async (Slack)</t>
        </is>
      </c>
      <c r="E2" s="7" t="inlineStr">
        <is>
          <t>Intern</t>
        </is>
      </c>
      <c r="F2" s="7" t="inlineStr">
        <is>
          <t>Forces intent-setting before the week starts. Monday corrections are cheap; mid-week corrections cost a day.</t>
        </is>
      </c>
    </row>
    <row r="3" ht="51.75" customHeight="1">
      <c r="A3" s="7" t="inlineStr">
        <is>
          <t>Wednesday</t>
        </is>
      </c>
      <c r="B3" s="7" t="inlineStr">
        <is>
          <t>Blocker check (optional)</t>
        </is>
      </c>
      <c r="C3" s="7" t="inlineStr">
        <is>
          <t>10 min</t>
        </is>
      </c>
      <c r="D3" s="7" t="inlineStr">
        <is>
          <t>Slack or call</t>
        </is>
      </c>
      <c r="E3" s="7" t="inlineStr">
        <is>
          <t>Either</t>
        </is>
      </c>
      <c r="F3" s="7" t="inlineStr">
        <is>
          <t>Mid-week safety net. Skip if not blocked. Prevents 'silently stuck Tue-Thu' pattern.</t>
        </is>
      </c>
    </row>
    <row r="4" ht="51.75" customHeight="1">
      <c r="A4" s="7" t="inlineStr">
        <is>
          <t>Friday EOD</t>
        </is>
      </c>
      <c r="B4" s="7" t="inlineStr">
        <is>
          <t>Commit week's deliverable + 5-bullet progress note</t>
        </is>
      </c>
      <c r="C4" s="7" t="inlineStr">
        <is>
          <t>Async</t>
        </is>
      </c>
      <c r="D4" s="7" t="inlineStr">
        <is>
          <t>Git + Slack</t>
        </is>
      </c>
      <c r="E4" s="7" t="inlineStr">
        <is>
          <t>Intern</t>
        </is>
      </c>
      <c r="F4" s="7" t="inlineStr">
        <is>
          <t>Forced reflection. The 5 bullets become EXPERIMENTS.md timeline in Week 7.</t>
        </is>
      </c>
    </row>
    <row r="5" ht="51.75" customHeight="1">
      <c r="A5" s="7" t="inlineStr">
        <is>
          <t>Friday next day</t>
        </is>
      </c>
      <c r="B5" s="7" t="inlineStr">
        <is>
          <t>Mentor reviews commits</t>
        </is>
      </c>
      <c r="C5" s="7" t="inlineStr">
        <is>
          <t>30 min</t>
        </is>
      </c>
      <c r="D5" s="7" t="inlineStr">
        <is>
          <t>GitHub PR comments</t>
        </is>
      </c>
      <c r="E5" s="7" t="inlineStr">
        <is>
          <t>Mentor</t>
        </is>
      </c>
      <c r="F5" s="7" t="inlineStr">
        <is>
          <t>Async review. Schedules any Monday correction.</t>
        </is>
      </c>
    </row>
    <row r="6" ht="51.75" customHeight="1">
      <c r="A6" s="7" t="inlineStr">
        <is>
          <t>End of each week</t>
        </is>
      </c>
      <c r="B6" s="7" t="inlineStr">
        <is>
          <t>Update Tracker status + evidence links</t>
        </is>
      </c>
      <c r="C6" s="7" t="inlineStr">
        <is>
          <t>5 min</t>
        </is>
      </c>
      <c r="D6" s="7" t="inlineStr">
        <is>
          <t>This spreadsheet</t>
        </is>
      </c>
      <c r="E6" s="7" t="inlineStr">
        <is>
          <t>Intern</t>
        </is>
      </c>
      <c r="F6" s="7" t="inlineStr">
        <is>
          <t>Single source of truth for progress.</t>
        </is>
      </c>
    </row>
    <row r="7" ht="51.75" customHeight="1">
      <c r="A7" s="7" t="inlineStr">
        <is>
          <t>End of Week 0</t>
        </is>
      </c>
      <c r="B7" s="7" t="inlineStr">
        <is>
          <t>Mentor reads intern's reflection.md</t>
        </is>
      </c>
      <c r="C7" s="7" t="inlineStr">
        <is>
          <t>10 min</t>
        </is>
      </c>
      <c r="D7" s="7" t="inlineStr">
        <is>
          <t>GitHub</t>
        </is>
      </c>
      <c r="E7" s="7" t="inlineStr">
        <is>
          <t>Mentor</t>
        </is>
      </c>
      <c r="F7" s="7" t="inlineStr">
        <is>
          <t>Bootstrap diagnostic. Vague reflection -&gt; slow Week 1. Specific reflection -&gt; proceed at planned pace.</t>
        </is>
      </c>
    </row>
  </sheetData>
  <pageMargins left="0.75" right="0.75" top="1" bottom="1" header="0.511811023622047" footer="0.511811023622047"/>
  <pageSetup orientation="portrait" paperSize="9" horizontalDpi="300" verticalDpi="300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9"/>
  <sheetViews>
    <sheetView zoomScale="90" zoomScaleNormal="90" workbookViewId="0">
      <pane ySplit="4" topLeftCell="A5" activePane="bottomLeft" state="frozen"/>
      <selection pane="bottomLeft" activeCell="A2" sqref="A2:D2"/>
    </sheetView>
  </sheetViews>
  <sheetFormatPr baseColWidth="8" defaultColWidth="8.6640625" defaultRowHeight="14.4"/>
  <cols>
    <col width="5" customWidth="1" min="1" max="1"/>
    <col width="55" customWidth="1" min="2" max="3"/>
    <col width="40" customWidth="1" min="4" max="4"/>
  </cols>
  <sheetData>
    <row r="1" ht="17.4" customHeight="1">
      <c r="A1" s="23" t="inlineStr">
        <is>
          <t>Week-7 Success Questions</t>
        </is>
      </c>
    </row>
    <row r="2">
      <c r="A2" s="25" t="inlineStr">
        <is>
          <t>If the intern can answer these without hedging at the end of Week 7, the plan worked.</t>
        </is>
      </c>
    </row>
    <row r="4">
      <c r="A4" s="14" t="inlineStr">
        <is>
          <t>#</t>
        </is>
      </c>
      <c r="B4" s="14" t="inlineStr">
        <is>
          <t>Question</t>
        </is>
      </c>
      <c r="C4" s="14" t="inlineStr">
        <is>
          <t>What a good answer looks like</t>
        </is>
      </c>
      <c r="D4" s="14" t="inlineStr">
        <is>
          <t>Intern's answer (Week 7)</t>
        </is>
      </c>
    </row>
    <row r="5" ht="79.5" customHeight="1">
      <c r="A5" s="7" t="n">
        <v>1</v>
      </c>
      <c r="B5" s="7" t="inlineStr">
        <is>
          <t>For a 10-second Hindi audio file end-to-end translated to English speech, where does the time actually go? Give it to me in milliseconds per stage.</t>
        </is>
      </c>
      <c r="C5" s="7" t="inlineStr">
        <is>
          <t>Stage-by-stage breakdown: ASR ms, translation ms, TTS ms, overhead/copies ms, total ms. Hardware noted. Points at the dominant stage and explains why.</t>
        </is>
      </c>
      <c r="D5" s="7" t="n"/>
    </row>
    <row r="6" ht="79.5" customHeight="1">
      <c r="A6" s="7" t="n">
        <v>2</v>
      </c>
      <c r="B6" s="7" t="inlineStr">
        <is>
          <t>Why can't we run all three models on a 16 GB GPU simultaneously without something giving?</t>
        </is>
      </c>
      <c r="C6" s="7" t="inlineStr">
        <is>
          <t>Numbers: per-model peak GPU memory. Aggregate. Names the dominant consumer. Discusses fp16/bf16, offload, lazy load as mitigations.</t>
        </is>
      </c>
      <c r="D6" s="7" t="n"/>
    </row>
    <row r="7" ht="79.5" customHeight="1">
      <c r="A7" s="7" t="n">
        <v>3</v>
      </c>
      <c r="B7" s="7" t="inlineStr">
        <is>
          <t>What's the difference between how Shrutam-2 and Whisper handle code-mixed Hindi-English, based on your measurements?</t>
        </is>
      </c>
      <c r="C7" s="7" t="inlineStr">
        <is>
          <t>WER numbers on the same code-mixed test set. Qualitative observation: where each tokenizer breaks. Speculation about training-data distribution.</t>
        </is>
      </c>
      <c r="D7" s="7" t="n"/>
    </row>
    <row r="8" ht="79.5" customHeight="1">
      <c r="A8" s="7" t="n">
        <v>4</v>
      </c>
      <c r="B8" s="7" t="inlineStr">
        <is>
          <t>Sooktam-2 is reference-guided. What does that mean for output quality, and what does it mean for inference latency compared to a description-conditioned model like Indic Parler-TTS?</t>
        </is>
      </c>
      <c r="C8" s="7" t="inlineStr">
        <is>
          <t>Quality: bounded by reference clip quality. Latency: extra reference encoding pass, RTF numbers for both. Trade-off articulated.</t>
        </is>
      </c>
      <c r="D8" s="7" t="n"/>
    </row>
    <row r="9" ht="79.5" customHeight="1">
      <c r="A9" s="7" t="n">
        <v>5</v>
      </c>
      <c r="B9" s="7" t="inlineStr">
        <is>
          <t>If I gave you a 30-minute audio file, what breaks and why?</t>
        </is>
      </c>
      <c r="C9" s="7" t="inlineStr">
        <is>
          <t>Memory growth (KV cache or buffer). Context limits. Chunking strategy needed. Error compounding across chunks for translation stage.</t>
        </is>
      </c>
      <c r="D9" s="7" t="n"/>
    </row>
  </sheetData>
  <mergeCells count="2">
    <mergeCell ref="A1:D1"/>
    <mergeCell ref="A2:D2"/>
  </mergeCells>
  <pageMargins left="0.75" right="0.75" top="1" bottom="1" header="0.511811023622047" footer="0.511811023622047"/>
  <pageSetup orientation="portrait" paperSize="9" horizontalDpi="300" verticalDpi="30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6"/>
  <sheetViews>
    <sheetView zoomScale="90" zoomScaleNormal="90" workbookViewId="0">
      <pane ySplit="1" topLeftCell="A2" activePane="bottomLeft" state="frozen"/>
      <selection pane="bottomLeft" activeCell="E6" sqref="E6"/>
    </sheetView>
  </sheetViews>
  <sheetFormatPr baseColWidth="8" defaultColWidth="8.6640625" defaultRowHeight="14.4"/>
  <cols>
    <col width="9" customWidth="1" min="1" max="1"/>
    <col width="42" customWidth="1" min="2" max="2"/>
    <col width="36" customWidth="1" min="3" max="3"/>
    <col width="55" customWidth="1" min="4" max="4"/>
  </cols>
  <sheetData>
    <row r="1">
      <c r="A1" s="14" t="inlineStr">
        <is>
          <t>Week</t>
        </is>
      </c>
      <c r="B1" s="14" t="inlineStr">
        <is>
          <t>Don't do this</t>
        </is>
      </c>
      <c r="C1" s="14" t="inlineStr">
        <is>
          <t>Why it's tempting</t>
        </is>
      </c>
      <c r="D1" s="14" t="inlineStr">
        <is>
          <t>Why to avoid</t>
        </is>
      </c>
    </row>
    <row r="2" ht="54.75" customHeight="1">
      <c r="A2" s="7" t="inlineStr">
        <is>
          <t>Week 0</t>
        </is>
      </c>
      <c r="B2" s="7" t="inlineStr">
        <is>
          <t>Implementing a neural network from scratch in numpy</t>
        </is>
      </c>
      <c r="C2" s="7" t="inlineStr">
        <is>
          <t>Feels like 'doing prerequisites properly'.</t>
        </is>
      </c>
      <c r="D2" s="7" t="inlineStr">
        <is>
          <t>Week 0 is conceptual coverage, not building. Implementation can be a post-internship project.</t>
        </is>
      </c>
    </row>
    <row r="3" ht="54.75" customHeight="1">
      <c r="A3" s="7" t="inlineStr">
        <is>
          <t>Week 0</t>
        </is>
      </c>
      <c r="B3" s="7" t="inlineStr">
        <is>
          <t>Reading PyTorch tutorials past 'Tensors'</t>
        </is>
      </c>
      <c r="C3" s="7" t="inlineStr">
        <is>
          <t>PyTorch.org's tutorials look authoritative.</t>
        </is>
      </c>
      <c r="D3" s="7" t="inlineStr">
        <is>
          <t>Autograd / training tutorials are training-stack content. We don't train; reading them muddles the model.</t>
        </is>
      </c>
    </row>
    <row r="4" ht="54.75" customHeight="1">
      <c r="A4" s="7" t="inlineStr">
        <is>
          <t>Week 0</t>
        </is>
      </c>
      <c r="B4" s="7" t="inlineStr">
        <is>
          <t>Stressing over 3Blue1Brown's math</t>
        </is>
      </c>
      <c r="C4" s="7" t="inlineStr">
        <is>
          <t>Math fluency feels prerequisite.</t>
        </is>
      </c>
      <c r="D4" s="7" t="inlineStr">
        <is>
          <t>Watch for intuition, not algebra. Math doesn't gate Week 1.</t>
        </is>
      </c>
    </row>
    <row r="5" ht="54.75" customHeight="1">
      <c r="A5" s="7" t="inlineStr">
        <is>
          <t>Week 1</t>
        </is>
      </c>
      <c r="B5" s="7" t="inlineStr">
        <is>
          <t>Reading Stanford CS224S lectures front-to-back</t>
        </is>
      </c>
      <c r="C5" s="7" t="inlineStr">
        <is>
          <t>Feels like 'doing prerequisites properly'.</t>
        </is>
      </c>
      <c r="D5" s="7" t="inlineStr">
        <is>
          <t>Three weeks disappear into lectures with zero code shipped.</t>
        </is>
      </c>
    </row>
    <row r="6" ht="54.75" customHeight="1">
      <c r="A6" s="7" t="inlineStr">
        <is>
          <t>Week 1</t>
        </is>
      </c>
      <c r="B6" s="7" t="inlineStr">
        <is>
          <t>Trying to derive Fourier transforms before plotting one</t>
        </is>
      </c>
      <c r="C6" s="7" t="inlineStr">
        <is>
          <t>First-principles instinct.</t>
        </is>
      </c>
      <c r="D6" s="7" t="inlineStr">
        <is>
          <t>FFT math is not on the critical path to running BharatGen models.</t>
        </is>
      </c>
    </row>
    <row r="7" ht="54.75" customHeight="1">
      <c r="A7" s="7" t="inlineStr">
        <is>
          <t>Week 2</t>
        </is>
      </c>
      <c r="B7" s="7" t="inlineStr">
        <is>
          <t>Fine-tuning anything (LoRA, full, PEFT)</t>
        </is>
      </c>
      <c r="C7" s="7" t="inlineStr">
        <is>
          <t>Most-talked-about thing in ML.</t>
        </is>
      </c>
      <c r="D7" s="7" t="inlineStr">
        <is>
          <t>Half-trained checkpoints with no documentation. Inference depth &gt; training breadth here.</t>
        </is>
      </c>
    </row>
    <row r="8" ht="54.75" customHeight="1">
      <c r="A8" s="7" t="inlineStr">
        <is>
          <t>Week 2</t>
        </is>
      </c>
      <c r="B8" s="7" t="inlineStr">
        <is>
          <t>Pulling in accelerate / bitsandbytes / vLLM</t>
        </is>
      </c>
      <c r="C8" s="7" t="inlineStr">
        <is>
          <t>Sounds professional.</t>
        </is>
      </c>
      <c r="D8" s="7" t="inlineStr">
        <is>
          <t>Adds debugging surface without solving a current problem.</t>
        </is>
      </c>
    </row>
    <row r="9" ht="54.75" customHeight="1">
      <c r="A9" s="7" t="inlineStr">
        <is>
          <t>Week 3</t>
        </is>
      </c>
      <c r="B9" s="7" t="inlineStr">
        <is>
          <t>Trying to 'improve' Shrutam-2</t>
        </is>
      </c>
      <c r="C9" s="7" t="inlineStr">
        <is>
          <t>WER is bad on some clips - instinct is to fix it.</t>
        </is>
      </c>
      <c r="D9" s="7" t="inlineStr">
        <is>
          <t>Improvement is meaningless before measurement is solid.</t>
        </is>
      </c>
    </row>
    <row r="10" ht="54.75" customHeight="1">
      <c r="A10" s="7" t="inlineStr">
        <is>
          <t>Week 3</t>
        </is>
      </c>
      <c r="B10" s="7" t="inlineStr">
        <is>
          <t>Reporting numbers without hardware/batch context</t>
        </is>
      </c>
      <c r="C10" s="7" t="inlineStr">
        <is>
          <t>Easy oversight in a hurry.</t>
        </is>
      </c>
      <c r="D10" s="7" t="inlineStr">
        <is>
          <t>A number without context is noise.</t>
        </is>
      </c>
    </row>
    <row r="11" ht="54.75" customHeight="1">
      <c r="A11" s="7" t="inlineStr">
        <is>
          <t>Week 4</t>
        </is>
      </c>
      <c r="B11" s="7" t="inlineStr">
        <is>
          <t>Claiming TTS quality without samples</t>
        </is>
      </c>
      <c r="C11" s="7" t="inlineStr">
        <is>
          <t>'Sounds good' feels honest.</t>
        </is>
      </c>
      <c r="D11" s="7" t="inlineStr">
        <is>
          <t>Untestable claims become folk wisdom.</t>
        </is>
      </c>
    </row>
    <row r="12" ht="54.75" customHeight="1">
      <c r="A12" s="7" t="inlineStr">
        <is>
          <t>Week 4</t>
        </is>
      </c>
      <c r="B12" s="7" t="inlineStr">
        <is>
          <t>Blaming the model when the reference clip is bad</t>
        </is>
      </c>
      <c r="C12" s="7" t="inlineStr">
        <is>
          <t>Garbage in is harder to spot than garbage out.</t>
        </is>
      </c>
      <c r="D12" s="7" t="inlineStr">
        <is>
          <t>Wastes weeks debugging the wrong thing.</t>
        </is>
      </c>
    </row>
    <row r="13" ht="54.75" customHeight="1">
      <c r="A13" s="7" t="inlineStr">
        <is>
          <t>Week 5</t>
        </is>
      </c>
      <c r="B13" s="7" t="inlineStr">
        <is>
          <t>Using BLEU as the only translation metric</t>
        </is>
      </c>
      <c r="C13" s="7" t="inlineStr">
        <is>
          <t>It's the metric in every paper.</t>
        </is>
      </c>
      <c r="D13" s="7" t="inlineStr">
        <is>
          <t>BLEU is brittle for morphologically rich Indic languages.</t>
        </is>
      </c>
    </row>
    <row r="14" ht="54.75" customHeight="1">
      <c r="A14" s="7" t="inlineStr">
        <is>
          <t>Week 6</t>
        </is>
      </c>
      <c r="B14" s="7" t="inlineStr">
        <is>
          <t>Streaming / realtime / WebSockets</t>
        </is>
      </c>
      <c r="C14" s="7" t="inlineStr">
        <is>
          <t>Sounds impressive.</t>
        </is>
      </c>
      <c r="D14" s="7" t="inlineStr">
        <is>
          <t>Streaming is its own multi-week project.</t>
        </is>
      </c>
    </row>
    <row r="15" ht="54.75" customHeight="1">
      <c r="A15" s="7" t="inlineStr">
        <is>
          <t>Week 6</t>
        </is>
      </c>
      <c r="B15" s="7" t="inlineStr">
        <is>
          <t>Docker / Kubernetes containerization</t>
        </is>
      </c>
      <c r="C15" s="7" t="inlineStr">
        <is>
          <t>'Production-ready' instinct.</t>
        </is>
      </c>
      <c r="D15" s="7" t="inlineStr">
        <is>
          <t>Containerization without a deployment target is theater.</t>
        </is>
      </c>
    </row>
    <row r="16" ht="54.75" customHeight="1">
      <c r="A16" s="7" t="inlineStr">
        <is>
          <t>Week 7</t>
        </is>
      </c>
      <c r="B16" s="7" t="inlineStr">
        <is>
          <t>Leaving docs for the last day</t>
        </is>
      </c>
      <c r="C16" s="7" t="inlineStr">
        <is>
          <t>Always tempting.</t>
        </is>
      </c>
      <c r="D16" s="7" t="inlineStr">
        <is>
          <t>Doc-only-in-week-7 misses ~30% of what was done.</t>
        </is>
      </c>
    </row>
  </sheetData>
  <pageMargins left="0.75" right="0.75" top="1" bottom="1" header="0.511811023622047" footer="0.511811023622047"/>
  <pageSetup orientation="portrait" paperSize="9" horizontalDpi="300" verticalDpi="300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6"/>
  <sheetViews>
    <sheetView zoomScale="90" zoomScaleNormal="90" workbookViewId="0">
      <pane ySplit="4" topLeftCell="A13" activePane="bottomLeft" state="frozen"/>
      <selection pane="bottomLeft" activeCell="D20" sqref="D20"/>
    </sheetView>
  </sheetViews>
  <sheetFormatPr baseColWidth="8" defaultColWidth="8.6640625" defaultRowHeight="14.4"/>
  <cols>
    <col width="14" customWidth="1" min="1" max="1"/>
    <col width="28" customWidth="1" min="2" max="2"/>
    <col width="14" customWidth="1" min="3" max="3"/>
    <col width="60" customWidth="1" min="4" max="4"/>
    <col width="12" customWidth="1" min="5" max="6"/>
    <col width="65" customWidth="1" min="7" max="7"/>
  </cols>
  <sheetData>
    <row r="1" ht="17.4" customHeight="1">
      <c r="A1" s="23" t="inlineStr">
        <is>
          <t>Learning Resources</t>
        </is>
      </c>
    </row>
    <row r="2" ht="30" customHeight="1">
      <c r="A2" s="24" t="inlineStr">
        <is>
          <t>Specific, named resources for each week's concepts. Curated, not exhaustive. Primary = required. Supplementary = if interested or stuck.</t>
        </is>
      </c>
    </row>
    <row r="4">
      <c r="A4" s="14" t="inlineStr">
        <is>
          <t>Phase</t>
        </is>
      </c>
      <c r="B4" s="14" t="inlineStr">
        <is>
          <t>Topic</t>
        </is>
      </c>
      <c r="C4" s="14" t="inlineStr">
        <is>
          <t>Priority</t>
        </is>
      </c>
      <c r="D4" s="14" t="inlineStr">
        <is>
          <t>Resource</t>
        </is>
      </c>
      <c r="E4" s="14" t="inlineStr">
        <is>
          <t>Type</t>
        </is>
      </c>
      <c r="F4" s="14" t="inlineStr">
        <is>
          <t>Time</t>
        </is>
      </c>
      <c r="G4" s="14" t="inlineStr">
        <is>
          <t>URL</t>
        </is>
      </c>
    </row>
    <row r="5" ht="37.5" customHeight="1">
      <c r="A5" s="7" t="inlineStr">
        <is>
          <t>Pre-start</t>
        </is>
      </c>
      <c r="B5" s="7" t="inlineStr">
        <is>
          <t>RunPod basics</t>
        </is>
      </c>
      <c r="C5" s="15" t="inlineStr">
        <is>
          <t>Primary</t>
        </is>
      </c>
      <c r="D5" s="7" t="inlineStr">
        <is>
          <t>RunPod Pods Overview + Quickstart</t>
        </is>
      </c>
      <c r="E5" s="7" t="inlineStr">
        <is>
          <t>Docs</t>
        </is>
      </c>
      <c r="F5" s="7" t="inlineStr">
        <is>
          <t>30 min</t>
        </is>
      </c>
      <c r="G5" s="16" t="inlineStr">
        <is>
          <t>https://docs.runpod.io/pods/overview</t>
        </is>
      </c>
    </row>
    <row r="6" ht="37.5" customHeight="1">
      <c r="A6" s="7" t="inlineStr">
        <is>
          <t>Pre-start</t>
        </is>
      </c>
      <c r="B6" s="7" t="inlineStr">
        <is>
          <t>BharatGen context</t>
        </is>
      </c>
      <c r="C6" s="15" t="inlineStr">
        <is>
          <t>Primary</t>
        </is>
      </c>
      <c r="D6" s="7" t="inlineStr">
        <is>
          <t>AI4Bharat blog (skim IndicASR/IndicTTS posts)</t>
        </is>
      </c>
      <c r="E6" s="7" t="inlineStr">
        <is>
          <t>Blog</t>
        </is>
      </c>
      <c r="F6" s="7" t="inlineStr">
        <is>
          <t>1 hour</t>
        </is>
      </c>
      <c r="G6" s="16" t="inlineStr">
        <is>
          <t>https://ai4bharat.iitm.ac.in/blog</t>
        </is>
      </c>
    </row>
    <row r="7" ht="37.5" customHeight="1">
      <c r="A7" s="7" t="inlineStr">
        <is>
          <t>Week 0 Day 1</t>
        </is>
      </c>
      <c r="B7" s="7" t="inlineStr">
        <is>
          <t>numpy</t>
        </is>
      </c>
      <c r="C7" s="15" t="inlineStr">
        <is>
          <t>Primary</t>
        </is>
      </c>
      <c r="D7" s="7" t="inlineStr">
        <is>
          <t>SciPy Lectures: NumPy</t>
        </is>
      </c>
      <c r="E7" s="7" t="inlineStr">
        <is>
          <t>Course</t>
        </is>
      </c>
      <c r="F7" s="7" t="inlineStr">
        <is>
          <t>2 hours</t>
        </is>
      </c>
      <c r="G7" s="16" t="inlineStr">
        <is>
          <t>https://lectures.scientific-python.org/intro/numpy/index.html</t>
        </is>
      </c>
    </row>
    <row r="8" ht="37.5" customHeight="1">
      <c r="A8" s="7" t="inlineStr">
        <is>
          <t>Week 0 Day 1</t>
        </is>
      </c>
      <c r="B8" s="7" t="inlineStr">
        <is>
          <t>numpy</t>
        </is>
      </c>
      <c r="C8" s="17" t="inlineStr">
        <is>
          <t>Supplementary</t>
        </is>
      </c>
      <c r="D8" s="7" t="inlineStr">
        <is>
          <t>NumPy Absolute Beginners guide</t>
        </is>
      </c>
      <c r="E8" s="7" t="inlineStr">
        <is>
          <t>Docs</t>
        </is>
      </c>
      <c r="F8" s="7" t="inlineStr">
        <is>
          <t>45 min</t>
        </is>
      </c>
      <c r="G8" s="16" t="inlineStr">
        <is>
          <t>https://numpy.org/doc/stable/user/absolute_beginners.html</t>
        </is>
      </c>
    </row>
    <row r="9" ht="37.5" customHeight="1">
      <c r="A9" s="7" t="inlineStr">
        <is>
          <t>Week 0 Day 1</t>
        </is>
      </c>
      <c r="B9" s="7" t="inlineStr">
        <is>
          <t>Jupyter</t>
        </is>
      </c>
      <c r="C9" s="15" t="inlineStr">
        <is>
          <t>Primary</t>
        </is>
      </c>
      <c r="D9" s="7" t="inlineStr">
        <is>
          <t>Real Python: Jupyter Notebook Introduction</t>
        </is>
      </c>
      <c r="E9" s="7" t="inlineStr">
        <is>
          <t>Article</t>
        </is>
      </c>
      <c r="F9" s="7" t="inlineStr">
        <is>
          <t>30 min</t>
        </is>
      </c>
      <c r="G9" s="16" t="inlineStr">
        <is>
          <t>https://realpython.com/jupyter-notebook-introduction/</t>
        </is>
      </c>
    </row>
    <row r="10" ht="37.5" customHeight="1">
      <c r="A10" s="7" t="inlineStr">
        <is>
          <t>Week 0 Day 1</t>
        </is>
      </c>
      <c r="B10" s="7" t="inlineStr">
        <is>
          <t>venv / uv</t>
        </is>
      </c>
      <c r="C10" s="15" t="inlineStr">
        <is>
          <t>Primary</t>
        </is>
      </c>
      <c r="D10" s="7" t="inlineStr">
        <is>
          <t>Astral uv: Getting Started</t>
        </is>
      </c>
      <c r="E10" s="7" t="inlineStr">
        <is>
          <t>Docs</t>
        </is>
      </c>
      <c r="F10" s="7" t="inlineStr">
        <is>
          <t>20 min</t>
        </is>
      </c>
      <c r="G10" s="16" t="inlineStr">
        <is>
          <t>https://docs.astral.sh/uv/getting-started/</t>
        </is>
      </c>
    </row>
    <row r="11" ht="37.5" customHeight="1">
      <c r="A11" s="7" t="inlineStr">
        <is>
          <t>Week 0 Day 2</t>
        </is>
      </c>
      <c r="B11" s="7" t="inlineStr">
        <is>
          <t>matplotlib</t>
        </is>
      </c>
      <c r="C11" s="15" t="inlineStr">
        <is>
          <t>Primary</t>
        </is>
      </c>
      <c r="D11" s="7" t="inlineStr">
        <is>
          <t>Matplotlib: Pyplot tutorial</t>
        </is>
      </c>
      <c r="E11" s="7" t="inlineStr">
        <is>
          <t>Docs</t>
        </is>
      </c>
      <c r="F11" s="7" t="inlineStr">
        <is>
          <t>45 min</t>
        </is>
      </c>
      <c r="G11" s="16" t="inlineStr">
        <is>
          <t>https://matplotlib.org/stable/tutorials/pyplot.html</t>
        </is>
      </c>
    </row>
    <row r="12" ht="37.5" customHeight="1">
      <c r="A12" s="7" t="inlineStr">
        <is>
          <t>Week 0 Day 2</t>
        </is>
      </c>
      <c r="B12" s="7" t="inlineStr">
        <is>
          <t>librosa (reading practice)</t>
        </is>
      </c>
      <c r="C12" s="15" t="inlineStr">
        <is>
          <t>Primary</t>
        </is>
      </c>
      <c r="D12" s="7" t="inlineStr">
        <is>
          <t>librosa: Tutorial</t>
        </is>
      </c>
      <c r="E12" s="7" t="inlineStr">
        <is>
          <t>Docs</t>
        </is>
      </c>
      <c r="F12" s="7" t="inlineStr">
        <is>
          <t>1 hour</t>
        </is>
      </c>
      <c r="G12" s="16" t="inlineStr">
        <is>
          <t>https://librosa.org/doc/latest/tutorial.html</t>
        </is>
      </c>
    </row>
    <row r="13" ht="37.5" customHeight="1">
      <c r="A13" s="7" t="inlineStr">
        <is>
          <t>Week 0 Day 3</t>
        </is>
      </c>
      <c r="B13" s="7" t="inlineStr">
        <is>
          <t>What is a 'model'</t>
        </is>
      </c>
      <c r="C13" s="15" t="inlineStr">
        <is>
          <t>Primary</t>
        </is>
      </c>
      <c r="D13" s="7" t="inlineStr">
        <is>
          <t>Stephen Wolfram: What Is ChatGPT Doing? (first third only — through 'Inside ChatGPT')</t>
        </is>
      </c>
      <c r="E13" s="7" t="inlineStr">
        <is>
          <t>Essay</t>
        </is>
      </c>
      <c r="F13" s="7" t="inlineStr">
        <is>
          <t>1.5 hours</t>
        </is>
      </c>
      <c r="G13" s="16" t="inlineStr">
        <is>
          <t>https://writings.stephenwolfram.com/2023/02/what-is-chatgpt-doing-and-why-does-it-work/</t>
        </is>
      </c>
    </row>
    <row r="14" ht="37.5" customHeight="1">
      <c r="A14" s="7" t="inlineStr">
        <is>
          <t>Week 0 Day 3</t>
        </is>
      </c>
      <c r="B14" s="7" t="inlineStr">
        <is>
          <t>Tokenizer concept</t>
        </is>
      </c>
      <c r="C14" s="15" t="inlineStr">
        <is>
          <t>Primary</t>
        </is>
      </c>
      <c r="D14" s="7" t="inlineStr">
        <is>
          <t>HF Tokenizers: Summary</t>
        </is>
      </c>
      <c r="E14" s="7" t="inlineStr">
        <is>
          <t>Docs</t>
        </is>
      </c>
      <c r="F14" s="7" t="inlineStr">
        <is>
          <t>20 min</t>
        </is>
      </c>
      <c r="G14" s="16" t="inlineStr">
        <is>
          <t>https://huggingface.co/docs/transformers/tokenizer_summary</t>
        </is>
      </c>
    </row>
    <row r="15" ht="37.5" customHeight="1">
      <c r="A15" s="7" t="inlineStr">
        <is>
          <t>Week 0 Day 3</t>
        </is>
      </c>
      <c r="B15" s="7" t="inlineStr">
        <is>
          <t>GPU vs CPU</t>
        </is>
      </c>
      <c r="C15" s="15" t="inlineStr">
        <is>
          <t>Primary</t>
        </is>
      </c>
      <c r="D15" s="7" t="inlineStr">
        <is>
          <t>NVIDIA blog: CPU vs GPU</t>
        </is>
      </c>
      <c r="E15" s="7" t="inlineStr">
        <is>
          <t>Article</t>
        </is>
      </c>
      <c r="F15" s="7" t="inlineStr">
        <is>
          <t>15 min</t>
        </is>
      </c>
      <c r="G15" s="16" t="inlineStr">
        <is>
          <t>https://blogs.nvidia.com/blog/whats-the-difference-between-a-cpu-and-a-gpu/</t>
        </is>
      </c>
    </row>
    <row r="16" ht="37.5" customHeight="1">
      <c r="A16" s="7" t="inlineStr">
        <is>
          <t>Week 0 Day 4</t>
        </is>
      </c>
      <c r="B16" s="7" t="inlineStr">
        <is>
          <t>Neural network intuition</t>
        </is>
      </c>
      <c r="C16" s="15" t="inlineStr">
        <is>
          <t>Primary</t>
        </is>
      </c>
      <c r="D16" s="7" t="inlineStr">
        <is>
          <t>3Blue1Brown: Neural Networks (Ch 1-3)</t>
        </is>
      </c>
      <c r="E16" s="7" t="inlineStr">
        <is>
          <t>Video</t>
        </is>
      </c>
      <c r="F16" s="7" t="inlineStr">
        <is>
          <t>60 min</t>
        </is>
      </c>
      <c r="G16" s="16" t="inlineStr">
        <is>
          <t>https://www.youtube.com/playlist?list=PLZHQObOWTQDNU6R1_67000Dx_ZCJB-3pi</t>
        </is>
      </c>
    </row>
    <row r="17" ht="37.5" customHeight="1">
      <c r="A17" s="7" t="inlineStr">
        <is>
          <t>Week 0 Day 4</t>
        </is>
      </c>
      <c r="B17" s="7" t="inlineStr">
        <is>
          <t>Transformer primer</t>
        </is>
      </c>
      <c r="C17" s="15" t="inlineStr">
        <is>
          <t>Primary</t>
        </is>
      </c>
      <c r="D17" s="7" t="inlineStr">
        <is>
          <t>Jay Alammar: The Illustrated Transformer (first 1/3 only)</t>
        </is>
      </c>
      <c r="E17" s="7" t="inlineStr">
        <is>
          <t>Article</t>
        </is>
      </c>
      <c r="F17" s="7" t="inlineStr">
        <is>
          <t>30 min</t>
        </is>
      </c>
      <c r="G17" s="16" t="inlineStr">
        <is>
          <t>https://jalammar.github.io/illustrated-transformer/</t>
        </is>
      </c>
    </row>
    <row r="18" ht="37.5" customHeight="1">
      <c r="A18" s="7" t="inlineStr">
        <is>
          <t>Week 0 Day 5</t>
        </is>
      </c>
      <c r="B18" s="7" t="inlineStr">
        <is>
          <t>PyTorch tensors</t>
        </is>
      </c>
      <c r="C18" s="15" t="inlineStr">
        <is>
          <t>Primary</t>
        </is>
      </c>
      <c r="D18" s="7" t="inlineStr">
        <is>
          <t>PyTorch: Tensors tutorial (STOP after this — don't continue to Autograd)</t>
        </is>
      </c>
      <c r="E18" s="7" t="inlineStr">
        <is>
          <t>Tutorial</t>
        </is>
      </c>
      <c r="F18" s="7" t="inlineStr">
        <is>
          <t>30 min</t>
        </is>
      </c>
      <c r="G18" s="16" t="inlineStr">
        <is>
          <t>https://pytorch.org/tutorials/beginner/basics/tensorqs_tutorial.html</t>
        </is>
      </c>
    </row>
    <row r="19" ht="37.5" customHeight="1">
      <c r="A19" s="7" t="inlineStr">
        <is>
          <t>Week 0 Day 5</t>
        </is>
      </c>
      <c r="B19" s="7" t="inlineStr">
        <is>
          <t>HF pipeline()</t>
        </is>
      </c>
      <c r="C19" s="15" t="inlineStr">
        <is>
          <t>Primary</t>
        </is>
      </c>
      <c r="D19" s="7" t="inlineStr">
        <is>
          <t>HF LLM Course Ch 1.3: Transformers, what can they do?</t>
        </is>
      </c>
      <c r="E19" s="7" t="inlineStr">
        <is>
          <t>Course</t>
        </is>
      </c>
      <c r="F19" s="7" t="inlineStr">
        <is>
          <t>45 min</t>
        </is>
      </c>
      <c r="G19" s="16" t="inlineStr">
        <is>
          <t>https://huggingface.co/learn/llm-course/chapter1/3</t>
        </is>
      </c>
    </row>
    <row r="20" ht="37.5" customHeight="1">
      <c r="A20" s="7" t="inlineStr">
        <is>
          <t>Week 1</t>
        </is>
      </c>
      <c r="B20" s="7" t="inlineStr">
        <is>
          <t>Audio data fundamentals</t>
        </is>
      </c>
      <c r="C20" s="15" t="inlineStr">
        <is>
          <t>Primary</t>
        </is>
      </c>
      <c r="D20" s="7" t="inlineStr">
        <is>
          <t>HF Audio Course Unit 1: Working with audio data</t>
        </is>
      </c>
      <c r="E20" s="7" t="inlineStr">
        <is>
          <t>Course</t>
        </is>
      </c>
      <c r="F20" s="7" t="inlineStr">
        <is>
          <t>2 hours</t>
        </is>
      </c>
      <c r="G20" s="16" t="inlineStr">
        <is>
          <t>https://huggingface.co/learn/audio-course/chapter1/introduction</t>
        </is>
      </c>
    </row>
    <row r="21" ht="37.5" customHeight="1">
      <c r="A21" s="7" t="inlineStr">
        <is>
          <t>Week 1</t>
        </is>
      </c>
      <c r="B21" s="7" t="inlineStr">
        <is>
          <t>librosa examples</t>
        </is>
      </c>
      <c r="C21" s="17" t="inlineStr">
        <is>
          <t>Supplementary</t>
        </is>
      </c>
      <c r="D21" s="7" t="inlineStr">
        <is>
          <t>librosa: Audio examples gallery</t>
        </is>
      </c>
      <c r="E21" s="7" t="inlineStr">
        <is>
          <t>Docs</t>
        </is>
      </c>
      <c r="F21" s="7" t="inlineStr">
        <is>
          <t>browse</t>
        </is>
      </c>
      <c r="G21" s="16" t="inlineStr">
        <is>
          <t>https://librosa.org/doc/latest/auto_examples/index.html</t>
        </is>
      </c>
    </row>
    <row r="22" ht="37.5" customHeight="1">
      <c r="A22" s="7" t="inlineStr">
        <is>
          <t>Week 2</t>
        </is>
      </c>
      <c r="B22" s="7" t="inlineStr">
        <is>
          <t>Using HF Transformers</t>
        </is>
      </c>
      <c r="C22" s="15" t="inlineStr">
        <is>
          <t>Primary</t>
        </is>
      </c>
      <c r="D22" s="7" t="inlineStr">
        <is>
          <t>HF LLM Course Ch 2: Using Transformers (AutoModel, AutoTokenizer, pipeline internals)</t>
        </is>
      </c>
      <c r="E22" s="7" t="inlineStr">
        <is>
          <t>Course</t>
        </is>
      </c>
      <c r="F22" s="7" t="inlineStr">
        <is>
          <t>2-3 hours</t>
        </is>
      </c>
      <c r="G22" s="16" t="inlineStr">
        <is>
          <t>https://huggingface.co/learn/llm-course/chapter2/1</t>
        </is>
      </c>
    </row>
    <row r="23" ht="37.5" customHeight="1">
      <c r="A23" s="7" t="inlineStr">
        <is>
          <t>Week 2</t>
        </is>
      </c>
      <c r="B23" s="7" t="inlineStr">
        <is>
          <t>Audio pipelines</t>
        </is>
      </c>
      <c r="C23" s="15" t="inlineStr">
        <is>
          <t>Primary</t>
        </is>
      </c>
      <c r="D23" s="7" t="inlineStr">
        <is>
          <t>HF Audio Course Unit 2: A gentle intro to audio applications</t>
        </is>
      </c>
      <c r="E23" s="7" t="inlineStr">
        <is>
          <t>Course</t>
        </is>
      </c>
      <c r="F23" s="7" t="inlineStr">
        <is>
          <t>1 hour</t>
        </is>
      </c>
      <c r="G23" s="16" t="inlineStr">
        <is>
          <t>https://huggingface.co/learn/audio-course/chapter2/introduction</t>
        </is>
      </c>
    </row>
    <row r="24" ht="37.5" customHeight="1">
      <c r="A24" s="7" t="inlineStr">
        <is>
          <t>Week 2</t>
        </is>
      </c>
      <c r="B24" s="7" t="inlineStr">
        <is>
          <t>Transformer architectures for audio</t>
        </is>
      </c>
      <c r="C24" s="17" t="inlineStr">
        <is>
          <t>Supplementary</t>
        </is>
      </c>
      <c r="D24" s="7" t="inlineStr">
        <is>
          <t>HF Audio Course Unit 3: Transformer architectures for audio</t>
        </is>
      </c>
      <c r="E24" s="7" t="inlineStr">
        <is>
          <t>Course</t>
        </is>
      </c>
      <c r="F24" s="7" t="inlineStr">
        <is>
          <t>1 hour</t>
        </is>
      </c>
      <c r="G24" s="16" t="inlineStr">
        <is>
          <t>https://huggingface.co/learn/audio-course/chapter3/introduction</t>
        </is>
      </c>
    </row>
    <row r="25" ht="37.5" customHeight="1">
      <c r="A25" s="7" t="inlineStr">
        <is>
          <t>Week 3</t>
        </is>
      </c>
      <c r="B25" s="7" t="inlineStr">
        <is>
          <t>ASR / WER</t>
        </is>
      </c>
      <c r="C25" s="15" t="inlineStr">
        <is>
          <t>Primary</t>
        </is>
      </c>
      <c r="D25" s="7" t="inlineStr">
        <is>
          <t>HF Audio Course Unit 5: Automatic Speech Recognition</t>
        </is>
      </c>
      <c r="E25" s="7" t="inlineStr">
        <is>
          <t>Course</t>
        </is>
      </c>
      <c r="F25" s="7" t="inlineStr">
        <is>
          <t>2-3 hours</t>
        </is>
      </c>
      <c r="G25" s="16" t="inlineStr">
        <is>
          <t>https://huggingface.co/learn/audio-course/chapter5/introduction</t>
        </is>
      </c>
    </row>
    <row r="26" ht="37.5" customHeight="1">
      <c r="A26" s="7" t="inlineStr">
        <is>
          <t>Week 3</t>
        </is>
      </c>
      <c r="B26" s="7" t="inlineStr">
        <is>
          <t>WER computation</t>
        </is>
      </c>
      <c r="C26" s="15" t="inlineStr">
        <is>
          <t>Primary</t>
        </is>
      </c>
      <c r="D26" s="7" t="inlineStr">
        <is>
          <t>jiwer library README</t>
        </is>
      </c>
      <c r="E26" s="7" t="inlineStr">
        <is>
          <t>Docs</t>
        </is>
      </c>
      <c r="F26" s="7" t="inlineStr">
        <is>
          <t>15 min</t>
        </is>
      </c>
      <c r="G26" s="16" t="inlineStr">
        <is>
          <t>https://github.com/jitsi/jiwer</t>
        </is>
      </c>
    </row>
    <row r="27" ht="37.5" customHeight="1">
      <c r="A27" s="7" t="inlineStr">
        <is>
          <t>Week 3</t>
        </is>
      </c>
      <c r="B27" s="7" t="inlineStr">
        <is>
          <t>Whisper context</t>
        </is>
      </c>
      <c r="C27" s="17" t="inlineStr">
        <is>
          <t>Supplementary</t>
        </is>
      </c>
      <c r="D27" s="7" t="inlineStr">
        <is>
          <t>OpenAI Whisper paper (skim)</t>
        </is>
      </c>
      <c r="E27" s="7" t="inlineStr">
        <is>
          <t>Paper</t>
        </is>
      </c>
      <c r="F27" s="7" t="inlineStr">
        <is>
          <t>30 min</t>
        </is>
      </c>
      <c r="G27" s="16" t="inlineStr">
        <is>
          <t>https://arxiv.org/abs/2212.04356</t>
        </is>
      </c>
    </row>
    <row r="28" ht="37.5" customHeight="1">
      <c r="A28" s="7" t="inlineStr">
        <is>
          <t>Week 4</t>
        </is>
      </c>
      <c r="B28" s="7" t="inlineStr">
        <is>
          <t>TTS fundamentals</t>
        </is>
      </c>
      <c r="C28" s="15" t="inlineStr">
        <is>
          <t>Primary</t>
        </is>
      </c>
      <c r="D28" s="7" t="inlineStr">
        <is>
          <t>HF Audio Course Unit 6: From text to speech</t>
        </is>
      </c>
      <c r="E28" s="7" t="inlineStr">
        <is>
          <t>Course</t>
        </is>
      </c>
      <c r="F28" s="7" t="inlineStr">
        <is>
          <t>2 hours</t>
        </is>
      </c>
      <c r="G28" s="16" t="inlineStr">
        <is>
          <t>https://huggingface.co/learn/audio-course/chapter6/introduction</t>
        </is>
      </c>
    </row>
    <row r="29" ht="37.5" customHeight="1">
      <c r="A29" s="7" t="inlineStr">
        <is>
          <t>Week 5</t>
        </is>
      </c>
      <c r="B29" s="7" t="inlineStr">
        <is>
          <t>Translation / seq2seq</t>
        </is>
      </c>
      <c r="C29" s="15" t="inlineStr">
        <is>
          <t>Primary</t>
        </is>
      </c>
      <c r="D29" s="7" t="inlineStr">
        <is>
          <t>HF LLM Course Ch 7.4: Translation</t>
        </is>
      </c>
      <c r="E29" s="7" t="inlineStr">
        <is>
          <t>Course</t>
        </is>
      </c>
      <c r="F29" s="7" t="inlineStr">
        <is>
          <t>1.5 hours</t>
        </is>
      </c>
      <c r="G29" s="16" t="inlineStr">
        <is>
          <t>https://huggingface.co/learn/llm-course/chapter7/4</t>
        </is>
      </c>
    </row>
    <row r="30" ht="37.5" customHeight="1">
      <c r="A30" s="7" t="inlineStr">
        <is>
          <t>Week 5</t>
        </is>
      </c>
      <c r="B30" s="7" t="inlineStr">
        <is>
          <t>Encoder-decoder deep dive</t>
        </is>
      </c>
      <c r="C30" s="15" t="inlineStr">
        <is>
          <t>Primary</t>
        </is>
      </c>
      <c r="D30" s="7" t="inlineStr">
        <is>
          <t>Jay Alammar: The Illustrated Transformer (full read this time)</t>
        </is>
      </c>
      <c r="E30" s="7" t="inlineStr">
        <is>
          <t>Article</t>
        </is>
      </c>
      <c r="F30" s="7" t="inlineStr">
        <is>
          <t>1 hour</t>
        </is>
      </c>
      <c r="G30" s="16" t="inlineStr">
        <is>
          <t>https://jalammar.github.io/illustrated-transformer/</t>
        </is>
      </c>
    </row>
    <row r="31" ht="37.5" customHeight="1">
      <c r="A31" s="7" t="inlineStr">
        <is>
          <t>Week 5</t>
        </is>
      </c>
      <c r="B31" s="7" t="inlineStr">
        <is>
          <t>IndicTrans2 context</t>
        </is>
      </c>
      <c r="C31" s="17" t="inlineStr">
        <is>
          <t>Supplementary</t>
        </is>
      </c>
      <c r="D31" s="7" t="inlineStr">
        <is>
          <t>IndicTrans2 paper (skim Sections 1-3)</t>
        </is>
      </c>
      <c r="E31" s="7" t="inlineStr">
        <is>
          <t>Paper</t>
        </is>
      </c>
      <c r="F31" s="7" t="inlineStr">
        <is>
          <t>30 min</t>
        </is>
      </c>
      <c r="G31" s="16" t="inlineStr">
        <is>
          <t>https://arxiv.org/abs/2305.16307</t>
        </is>
      </c>
    </row>
    <row r="32" ht="37.5" customHeight="1">
      <c r="A32" s="7" t="inlineStr">
        <is>
          <t>Week 6</t>
        </is>
      </c>
      <c r="B32" s="7" t="inlineStr">
        <is>
          <t>Speech-to-speech pipeline</t>
        </is>
      </c>
      <c r="C32" s="15" t="inlineStr">
        <is>
          <t>Primary</t>
        </is>
      </c>
      <c r="D32" s="7" t="inlineStr">
        <is>
          <t>HF Audio Course Unit 7: Putting it all together (speech-to-speech translation chapter)</t>
        </is>
      </c>
      <c r="E32" s="7" t="inlineStr">
        <is>
          <t>Course</t>
        </is>
      </c>
      <c r="F32" s="7" t="inlineStr">
        <is>
          <t>2 hours</t>
        </is>
      </c>
      <c r="G32" s="16" t="inlineStr">
        <is>
          <t>https://huggingface.co/learn/audio-course/chapter7/introduction</t>
        </is>
      </c>
    </row>
    <row r="33" ht="37.5" customHeight="1">
      <c r="A33" s="7" t="inlineStr">
        <is>
          <t>Week 6</t>
        </is>
      </c>
      <c r="B33" s="7" t="inlineStr">
        <is>
          <t>Gradio UI</t>
        </is>
      </c>
      <c r="C33" s="15" t="inlineStr">
        <is>
          <t>Primary</t>
        </is>
      </c>
      <c r="D33" s="7" t="inlineStr">
        <is>
          <t>Gradio Quickstart</t>
        </is>
      </c>
      <c r="E33" s="7" t="inlineStr">
        <is>
          <t>Docs</t>
        </is>
      </c>
      <c r="F33" s="7" t="inlineStr">
        <is>
          <t>45 min</t>
        </is>
      </c>
      <c r="G33" s="16" t="inlineStr">
        <is>
          <t>https://www.gradio.app/guides/quickstart</t>
        </is>
      </c>
    </row>
    <row r="34" ht="37.5" customHeight="1">
      <c r="A34" s="7" t="inlineStr">
        <is>
          <t>Week 6</t>
        </is>
      </c>
      <c r="B34" s="7" t="inlineStr">
        <is>
          <t>GPU memory management</t>
        </is>
      </c>
      <c r="C34" s="15" t="inlineStr">
        <is>
          <t>Primary</t>
        </is>
      </c>
      <c r="D34" s="7" t="inlineStr">
        <is>
          <t>PyTorch: CUDA semantics</t>
        </is>
      </c>
      <c r="E34" s="7" t="inlineStr">
        <is>
          <t>Docs</t>
        </is>
      </c>
      <c r="F34" s="7" t="inlineStr">
        <is>
          <t>30 min</t>
        </is>
      </c>
      <c r="G34" s="16" t="inlineStr">
        <is>
          <t>https://pytorch.org/docs/stable/notes/cuda.html</t>
        </is>
      </c>
    </row>
    <row r="35" ht="37.5" customHeight="1">
      <c r="A35" s="7" t="inlineStr">
        <is>
          <t>Week 7</t>
        </is>
      </c>
      <c r="B35" s="7" t="inlineStr">
        <is>
          <t>PyTorch profiling</t>
        </is>
      </c>
      <c r="C35" s="15" t="inlineStr">
        <is>
          <t>Primary</t>
        </is>
      </c>
      <c r="D35" s="7" t="inlineStr">
        <is>
          <t>PyTorch: Profiler recipe</t>
        </is>
      </c>
      <c r="E35" s="7" t="inlineStr">
        <is>
          <t>Tutorial</t>
        </is>
      </c>
      <c r="F35" s="7" t="inlineStr">
        <is>
          <t>30 min</t>
        </is>
      </c>
      <c r="G35" s="16" t="inlineStr">
        <is>
          <t>https://pytorch.org/tutorials/recipes/recipes/profiler_recipe.html</t>
        </is>
      </c>
    </row>
    <row r="36" ht="37.5" customHeight="1">
      <c r="A36" s="7" t="inlineStr">
        <is>
          <t>Week 7</t>
        </is>
      </c>
      <c r="B36" s="7" t="inlineStr">
        <is>
          <t>Technical writing structure</t>
        </is>
      </c>
      <c r="C36" s="15" t="inlineStr">
        <is>
          <t>Primary</t>
        </is>
      </c>
      <c r="D36" s="7" t="inlineStr">
        <is>
          <t>Diátaxis framework (4 doc types: tutorials, how-tos, reference, explanations)</t>
        </is>
      </c>
      <c r="E36" s="7" t="inlineStr">
        <is>
          <t>Reading</t>
        </is>
      </c>
      <c r="F36" s="7" t="inlineStr">
        <is>
          <t>30 min</t>
        </is>
      </c>
      <c r="G36" s="16" t="inlineStr">
        <is>
          <t>https://diataxis.fr/</t>
        </is>
      </c>
    </row>
  </sheetData>
  <autoFilter ref="A4:G36"/>
  <mergeCells count="2">
    <mergeCell ref="A2:G2"/>
    <mergeCell ref="A1:G1"/>
  </mergeCells>
  <hyperlinks>
    <hyperlink xmlns:r="http://schemas.openxmlformats.org/officeDocument/2006/relationships" ref="G5" r:id="rId1"/>
    <hyperlink xmlns:r="http://schemas.openxmlformats.org/officeDocument/2006/relationships" ref="G6" r:id="rId2"/>
    <hyperlink xmlns:r="http://schemas.openxmlformats.org/officeDocument/2006/relationships" ref="G7" r:id="rId3"/>
    <hyperlink xmlns:r="http://schemas.openxmlformats.org/officeDocument/2006/relationships" ref="G8" r:id="rId4"/>
    <hyperlink xmlns:r="http://schemas.openxmlformats.org/officeDocument/2006/relationships" ref="G9" r:id="rId5"/>
    <hyperlink xmlns:r="http://schemas.openxmlformats.org/officeDocument/2006/relationships" ref="G10" r:id="rId6"/>
    <hyperlink xmlns:r="http://schemas.openxmlformats.org/officeDocument/2006/relationships" ref="G11" r:id="rId7"/>
    <hyperlink xmlns:r="http://schemas.openxmlformats.org/officeDocument/2006/relationships" ref="G12" r:id="rId8"/>
    <hyperlink xmlns:r="http://schemas.openxmlformats.org/officeDocument/2006/relationships" ref="G13" r:id="rId9"/>
    <hyperlink xmlns:r="http://schemas.openxmlformats.org/officeDocument/2006/relationships" ref="G14" r:id="rId10"/>
    <hyperlink xmlns:r="http://schemas.openxmlformats.org/officeDocument/2006/relationships" ref="G15" r:id="rId11"/>
    <hyperlink xmlns:r="http://schemas.openxmlformats.org/officeDocument/2006/relationships" ref="G16" r:id="rId12"/>
    <hyperlink xmlns:r="http://schemas.openxmlformats.org/officeDocument/2006/relationships" ref="G17" r:id="rId13"/>
    <hyperlink xmlns:r="http://schemas.openxmlformats.org/officeDocument/2006/relationships" ref="G18" r:id="rId14"/>
    <hyperlink xmlns:r="http://schemas.openxmlformats.org/officeDocument/2006/relationships" ref="G19" r:id="rId15"/>
    <hyperlink xmlns:r="http://schemas.openxmlformats.org/officeDocument/2006/relationships" ref="G20" r:id="rId16"/>
    <hyperlink xmlns:r="http://schemas.openxmlformats.org/officeDocument/2006/relationships" ref="G21" r:id="rId17"/>
    <hyperlink xmlns:r="http://schemas.openxmlformats.org/officeDocument/2006/relationships" ref="G22" r:id="rId18"/>
    <hyperlink xmlns:r="http://schemas.openxmlformats.org/officeDocument/2006/relationships" ref="G23" r:id="rId19"/>
    <hyperlink xmlns:r="http://schemas.openxmlformats.org/officeDocument/2006/relationships" ref="G24" r:id="rId20"/>
    <hyperlink xmlns:r="http://schemas.openxmlformats.org/officeDocument/2006/relationships" ref="G25" r:id="rId21"/>
    <hyperlink xmlns:r="http://schemas.openxmlformats.org/officeDocument/2006/relationships" ref="G26" r:id="rId22"/>
    <hyperlink xmlns:r="http://schemas.openxmlformats.org/officeDocument/2006/relationships" ref="G27" r:id="rId23"/>
    <hyperlink xmlns:r="http://schemas.openxmlformats.org/officeDocument/2006/relationships" ref="G28" r:id="rId24"/>
    <hyperlink xmlns:r="http://schemas.openxmlformats.org/officeDocument/2006/relationships" ref="G29" r:id="rId25"/>
    <hyperlink xmlns:r="http://schemas.openxmlformats.org/officeDocument/2006/relationships" ref="G30" r:id="rId26"/>
    <hyperlink xmlns:r="http://schemas.openxmlformats.org/officeDocument/2006/relationships" ref="G31" r:id="rId27"/>
    <hyperlink xmlns:r="http://schemas.openxmlformats.org/officeDocument/2006/relationships" ref="G32" r:id="rId28"/>
    <hyperlink xmlns:r="http://schemas.openxmlformats.org/officeDocument/2006/relationships" ref="G33" r:id="rId29"/>
    <hyperlink xmlns:r="http://schemas.openxmlformats.org/officeDocument/2006/relationships" ref="G34" r:id="rId30"/>
    <hyperlink xmlns:r="http://schemas.openxmlformats.org/officeDocument/2006/relationships" ref="G35" r:id="rId31"/>
    <hyperlink xmlns:r="http://schemas.openxmlformats.org/officeDocument/2006/relationships" ref="G36" r:id="rId32"/>
  </hyperlinks>
  <pageMargins left="0.75" right="0.75" top="1" bottom="1" header="0.511811023622047" footer="0.511811023622047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2026-05-11T05:48:40Z</dcterms:created>
  <dcterms:modified xsi:type="dcterms:W3CDTF">2026-05-23T15:34:59Z</dcterms:modified>
  <cp:lastModifiedBy>Chaitanya Patil</cp:lastModifiedBy>
  <cp:revision>1</cp:revision>
</cp:coreProperties>
</file>